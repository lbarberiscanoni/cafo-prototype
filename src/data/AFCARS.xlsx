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<sst xmlns="http://schemas.openxmlformats.org/spreadsheetml/2006/main" count="339" uniqueCount="67">
  <si>
    <t>State</t>
  </si>
  <si>
    <t>Year</t>
  </si>
  <si>
    <t>Children in Care</t>
  </si>
  <si>
    <t>Children in Foster Care</t>
  </si>
  <si>
    <t>Children in Kinship Care</t>
  </si>
  <si>
    <t>Children Waiting For Adoption</t>
  </si>
  <si>
    <t>Number of Adoptions</t>
  </si>
  <si>
    <t>Biological Reunification Rate</t>
  </si>
  <si>
    <t>Family Preservation Cases</t>
  </si>
  <si>
    <t>Number of Licensed Homes</t>
  </si>
  <si>
    <t>Ratio (Licensed Homes / Children in Care)</t>
  </si>
  <si>
    <t>AK</t>
  </si>
  <si>
    <t>AL</t>
  </si>
  <si>
    <t>-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</si>
  <si>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</si>
  <si>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</si>
  <si>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</si>
  <si>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</si>
  <si>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</si>
  <si>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</si>
  <si>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</si>
  <si>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</si>
  <si>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</si>
  <si>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</si>
  <si>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</si>
  <si>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</si>
  <si>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</si>
  <si>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</si>
  <si>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</si>
  <si>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</si>
  <si>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</si>
  <si>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</si>
  <si>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*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</si>
  <si>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</si>
  <si>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</si>
  <si>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</si>
  <si>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</si>
  <si>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</si>
  <si>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</si>
  <si>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</si>
  <si>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</si>
  <si>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</si>
  <si>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</si>
  <si>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</si>
  <si>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</si>
  <si>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</si>
  <si>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</si>
  <si>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</si>
  <si>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</si>
  <si>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</si>
  <si>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</si>
  <si>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</si>
  <si>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</si>
  <si>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NULL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</si>
  <si>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</si>
  <si>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</si>
  <si>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</si>
  <si>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</si>
  <si>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</si>
  <si>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</si>
  <si>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</si>
  <si>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</si>
  <si>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</si>
  <si>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</si>
  <si>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</si>
  <si>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</si>
  <si>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&lt;10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</si>
</sst>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11.0"/>
      <color rgb="FF000000"/>
      <name val="Arial"/>
    </font>
    <font>
      <sz val="11.0"/>
      <color theme="1"/>
      <name val="Aptos Narrow"/>
    </font>
    <font>
      <sz val="11.0"/>
      <color rgb="FF000000"/>
      <name val="Arial"/>
      <scheme val="minor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10">
    <border/>
    <border>
      <right style="thin">
        <color rgb="FFFFFFFF"/>
      </right>
    </border>
    <border>
      <right style="thin">
        <color rgb="FF153D64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215E99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right style="thin">
        <color rgb="FF215E99"/>
      </right>
      <bottom style="thin">
        <color rgb="FF215E99"/>
      </bottom>
    </border>
    <border>
      <bottom style="thin">
        <color rgb="FF215E99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horizontal="right" readingOrder="0" vertical="bottom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right" readingOrder="0" vertical="bottom"/>
    </xf>
    <xf borderId="0" fillId="0" fontId="2" numFmtId="2" xfId="0" applyAlignment="1" applyFont="1" applyNumberFormat="1">
      <alignment readingOrder="0"/>
    </xf>
    <xf borderId="1" fillId="2" fontId="1" numFmtId="0" xfId="0" applyAlignment="1" applyBorder="1" applyFill="1" applyFont="1">
      <alignment vertical="bottom"/>
    </xf>
    <xf borderId="0" fillId="3" fontId="1" numFmtId="0" xfId="0" applyAlignment="1" applyFill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readingOrder="0" vertical="bottom"/>
    </xf>
    <xf borderId="2" fillId="0" fontId="3" numFmtId="0" xfId="0" applyAlignment="1" applyBorder="1" applyFon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3" fontId="1" numFmtId="2" xfId="0" applyAlignment="1" applyFill="1" applyFont="1" applyNumberFormat="1">
      <alignment horizontal="right" vertical="bottom"/>
    </xf>
    <xf borderId="0" fillId="0" fontId="1" numFmtId="10" xfId="0" applyAlignment="1" applyFont="1" applyNumberFormat="1">
      <alignment horizontal="right" readingOrder="0" vertical="bottom"/>
    </xf>
    <xf borderId="2" fillId="0" fontId="3" numFmtId="3" xfId="0" applyAlignment="1" applyBorder="1" applyFont="1" applyNumberFormat="1">
      <alignment horizontal="right" vertical="bottom"/>
    </xf>
    <xf borderId="0" fillId="3" fontId="1" numFmtId="0" xfId="0" applyAlignment="1" applyFill="1" applyFont="1">
      <alignment vertical="bottom"/>
    </xf>
    <xf borderId="0" fillId="0" fontId="1" numFmtId="3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0" fontId="2" numFmtId="10" xfId="0" applyAlignment="1" applyFont="1" applyNumberFormat="1">
      <alignment readingOrder="0"/>
    </xf>
    <xf borderId="0" fillId="0" fontId="3" numFmtId="0" xfId="0" applyFont="1"/>
    <xf borderId="0" fillId="4" fontId="2" numFmtId="0" xfId="0" applyFill="1" applyFont="1"/>
    <xf borderId="3" fillId="0" fontId="4" numFmtId="3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4" numFmtId="3" xfId="0" applyAlignment="1" applyBorder="1" applyFont="1" applyNumberFormat="1">
      <alignment horizontal="center" readingOrder="0"/>
    </xf>
    <xf borderId="4" fillId="0" fontId="4" numFmtId="10" xfId="0" applyAlignment="1" applyBorder="1" applyFont="1" applyNumberFormat="1">
      <alignment horizontal="center" readingOrder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6" fillId="0" fontId="4" numFmtId="3" xfId="0" applyAlignment="1" applyBorder="1" applyFont="1" applyNumberFormat="1">
      <alignment horizontal="center" readingOrder="0"/>
    </xf>
    <xf borderId="7" fillId="0" fontId="4" numFmtId="3" xfId="0" applyAlignment="1" applyBorder="1" applyFont="1" applyNumberFormat="1">
      <alignment horizontal="center" readingOrder="0"/>
    </xf>
    <xf borderId="7" fillId="0" fontId="4" numFmtId="0" xfId="0" applyAlignment="1" applyBorder="1" applyFont="1">
      <alignment horizontal="center" readingOrder="0"/>
    </xf>
    <xf borderId="7" fillId="0" fontId="4" numFmtId="10" xfId="0" applyAlignment="1" applyBorder="1" applyFont="1" applyNumberFormat="1">
      <alignment horizontal="center" readingOrder="0"/>
    </xf>
    <xf borderId="5" fillId="0" fontId="5" numFmtId="3" xfId="0" applyAlignment="1" applyBorder="1" applyFont="1" applyNumberFormat="1">
      <alignment horizontal="right" vertical="bottom"/>
    </xf>
    <xf borderId="7" fillId="0" fontId="6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7" fillId="0" fontId="7" numFmtId="0" xfId="0" applyBorder="1" applyFont="1"/>
    <xf borderId="7" fillId="0" fontId="6" numFmtId="10" xfId="0" applyAlignment="1" applyBorder="1" applyFont="1" applyNumberFormat="1">
      <alignment horizontal="center" readingOrder="0"/>
    </xf>
    <xf borderId="6" fillId="5" fontId="4" numFmtId="3" xfId="0" applyAlignment="1" applyBorder="1" applyFill="1" applyFont="1" applyNumberFormat="1">
      <alignment horizontal="center"/>
    </xf>
    <xf borderId="7" fillId="5" fontId="4" numFmtId="3" xfId="0" applyAlignment="1" applyBorder="1" applyFill="1" applyFont="1" applyNumberFormat="1">
      <alignment horizontal="center"/>
    </xf>
    <xf borderId="7" fillId="5" fontId="4" numFmtId="0" xfId="0" applyAlignment="1" applyBorder="1" applyFill="1" applyFont="1">
      <alignment horizontal="center"/>
    </xf>
    <xf borderId="7" fillId="5" fontId="4" numFmtId="10" xfId="0" applyAlignment="1" applyBorder="1" applyFill="1" applyFont="1" applyNumberFormat="1">
      <alignment horizontal="center"/>
    </xf>
    <xf borderId="8" fillId="0" fontId="5" numFmtId="0" xfId="0" applyAlignment="1" applyBorder="1" applyFont="1">
      <alignment horizontal="right" vertical="bottom"/>
    </xf>
    <xf borderId="9" fillId="0" fontId="5" numFmtId="0" xfId="0" applyAlignment="1" applyBorder="1" applyFont="1">
      <alignment vertical="bottom"/>
    </xf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  <c r="O1" s="2"/>
    </row>
    <row r="2">
      <c r="A2" s="6" t="s">
        <v>11</v>
      </c>
      <c r="B2" s="2">
        <v>2023.0</v>
      </c>
      <c r="C2" s="7">
        <v>2671.0</v>
      </c>
      <c r="D2" s="7">
        <v>856.0</v>
      </c>
      <c r="E2" s="7">
        <v>805.0</v>
      </c>
      <c r="F2" s="7">
        <v>266.0</v>
      </c>
      <c r="G2" s="8">
        <v>312.0</v>
      </c>
      <c r="H2" s="9">
        <v>0.506</v>
      </c>
      <c r="I2" s="10">
        <v>12.0</v>
      </c>
      <c r="J2" s="11">
        <v>1030.0</v>
      </c>
      <c r="K2" s="12">
        <f t="shared" ref="K2:K261" si="1">J2/C2</f>
        <v>0.385623362</v>
      </c>
      <c r="L2" s="7"/>
      <c r="M2" s="7"/>
      <c r="N2" s="13"/>
      <c r="O2" s="7"/>
      <c r="P2" s="7"/>
      <c r="Q2" s="7"/>
      <c r="R2" s="7"/>
      <c r="S2" s="7"/>
      <c r="T2" s="13"/>
    </row>
    <row r="3">
      <c r="A3" s="6" t="s">
        <v>12</v>
      </c>
      <c r="B3" s="2">
        <v>2023.0</v>
      </c>
      <c r="C3" s="7">
        <v>5828.0</v>
      </c>
      <c r="D3" s="7">
        <v>3563.0</v>
      </c>
      <c r="E3" s="7">
        <v>1004.0</v>
      </c>
      <c r="F3" s="7">
        <v>368.0</v>
      </c>
      <c r="G3" s="8">
        <v>1018.0</v>
      </c>
      <c r="H3" s="9">
        <v>0.368</v>
      </c>
      <c r="I3" s="10" t="s">
        <v>13</v>
      </c>
      <c r="J3" s="11">
        <v>2474.0</v>
      </c>
      <c r="K3" s="12">
        <f t="shared" si="1"/>
        <v>0.4245024022</v>
      </c>
      <c r="L3" s="7"/>
      <c r="M3" s="7">
        <f>SUM(C2:C53)</f>
        <v>360536</v>
      </c>
      <c r="N3" s="13"/>
      <c r="O3" s="7"/>
      <c r="P3" s="7"/>
      <c r="Q3" s="7"/>
      <c r="R3" s="7"/>
      <c r="S3" s="7"/>
      <c r="T3" s="13"/>
    </row>
    <row r="4">
      <c r="A4" s="6" t="s">
        <v>14</v>
      </c>
      <c r="B4" s="2">
        <v>2023.0</v>
      </c>
      <c r="C4" s="7">
        <v>4344.0</v>
      </c>
      <c r="D4" s="7">
        <v>1988.0</v>
      </c>
      <c r="E4" s="7">
        <v>996.0</v>
      </c>
      <c r="F4" s="7">
        <v>211.0</v>
      </c>
      <c r="G4" s="8">
        <v>1546.0</v>
      </c>
      <c r="H4" s="9">
        <v>0.373</v>
      </c>
      <c r="I4" s="14">
        <v>1370.0</v>
      </c>
      <c r="J4" s="11">
        <v>1548.0</v>
      </c>
      <c r="K4" s="12">
        <f t="shared" si="1"/>
        <v>0.3563535912</v>
      </c>
      <c r="L4" s="7"/>
      <c r="M4" s="7"/>
      <c r="N4" s="13"/>
      <c r="O4" s="7"/>
      <c r="P4" s="7"/>
      <c r="Q4" s="7"/>
      <c r="R4" s="7"/>
      <c r="S4" s="7"/>
      <c r="T4" s="13"/>
    </row>
    <row r="5">
      <c r="A5" s="6" t="s">
        <v>15</v>
      </c>
      <c r="B5" s="2">
        <v>2023.0</v>
      </c>
      <c r="C5" s="7">
        <v>10573.0</v>
      </c>
      <c r="D5" s="7">
        <v>2486.0</v>
      </c>
      <c r="E5" s="7">
        <v>4919.0</v>
      </c>
      <c r="F5" s="7">
        <v>1483.0</v>
      </c>
      <c r="G5" s="8">
        <v>2254.0</v>
      </c>
      <c r="H5" s="9">
        <v>0.434</v>
      </c>
      <c r="I5" s="10">
        <v>777.0</v>
      </c>
      <c r="J5" s="11">
        <v>2638.0</v>
      </c>
      <c r="K5" s="12">
        <f t="shared" si="1"/>
        <v>0.2495034522</v>
      </c>
      <c r="L5" s="7"/>
      <c r="M5" s="7"/>
      <c r="N5" s="13"/>
      <c r="O5" s="7"/>
      <c r="P5" s="7"/>
      <c r="Q5" s="7"/>
      <c r="R5" s="7"/>
      <c r="S5" s="7"/>
      <c r="T5" s="13"/>
    </row>
    <row r="6">
      <c r="A6" s="6" t="s">
        <v>16</v>
      </c>
      <c r="B6" s="2">
        <v>2023.0</v>
      </c>
      <c r="C6" s="7">
        <v>44468.0</v>
      </c>
      <c r="D6" s="7">
        <v>22081.0</v>
      </c>
      <c r="E6" s="7">
        <v>14126.0</v>
      </c>
      <c r="F6" s="7">
        <v>7342.0</v>
      </c>
      <c r="G6" s="8">
        <v>5994.0</v>
      </c>
      <c r="H6" s="9">
        <v>0.481</v>
      </c>
      <c r="I6" s="14">
        <v>24337.0</v>
      </c>
      <c r="J6" s="11">
        <v>34924.0</v>
      </c>
      <c r="K6" s="12">
        <f t="shared" si="1"/>
        <v>0.7853737519</v>
      </c>
      <c r="L6" s="7"/>
      <c r="M6" s="7"/>
      <c r="N6" s="13"/>
      <c r="O6" s="7"/>
      <c r="P6" s="7"/>
      <c r="Q6" s="7"/>
      <c r="R6" s="7"/>
      <c r="S6" s="7"/>
      <c r="T6" s="13"/>
    </row>
    <row r="7">
      <c r="A7" s="6" t="s">
        <v>17</v>
      </c>
      <c r="B7" s="2">
        <v>2023.0</v>
      </c>
      <c r="C7" s="7">
        <v>4429.0</v>
      </c>
      <c r="D7" s="7">
        <v>2065.0</v>
      </c>
      <c r="E7" s="7">
        <v>1160.0</v>
      </c>
      <c r="F7" s="7">
        <v>355.0</v>
      </c>
      <c r="G7" s="8">
        <v>511.0</v>
      </c>
      <c r="H7" s="9">
        <v>0.39</v>
      </c>
      <c r="I7" s="10">
        <v>705.0</v>
      </c>
      <c r="J7" s="11">
        <v>2078.0</v>
      </c>
      <c r="K7" s="12">
        <f t="shared" si="1"/>
        <v>0.4691804019</v>
      </c>
      <c r="L7" s="7"/>
      <c r="M7" s="7"/>
      <c r="N7" s="13"/>
      <c r="O7" s="7"/>
      <c r="P7" s="7"/>
      <c r="Q7" s="7"/>
      <c r="R7" s="7"/>
      <c r="S7" s="7"/>
      <c r="T7" s="13"/>
    </row>
    <row r="8">
      <c r="A8" s="6" t="s">
        <v>18</v>
      </c>
      <c r="B8" s="2">
        <v>2023.0</v>
      </c>
      <c r="C8" s="7">
        <v>3236.0</v>
      </c>
      <c r="D8" s="7">
        <v>1327.0</v>
      </c>
      <c r="E8" s="7">
        <v>995.0</v>
      </c>
      <c r="F8" s="7">
        <v>15.0</v>
      </c>
      <c r="G8" s="8">
        <v>451.0</v>
      </c>
      <c r="H8" s="9">
        <v>0.304</v>
      </c>
      <c r="I8" s="10">
        <v>163.0</v>
      </c>
      <c r="J8" s="11">
        <v>2363.0</v>
      </c>
      <c r="K8" s="12">
        <f t="shared" si="1"/>
        <v>0.7302224969</v>
      </c>
      <c r="L8" s="7"/>
      <c r="M8" s="7"/>
      <c r="N8" s="13"/>
      <c r="O8" s="7"/>
      <c r="P8" s="7"/>
      <c r="Q8" s="7"/>
      <c r="R8" s="7"/>
      <c r="S8" s="7"/>
      <c r="T8" s="13"/>
    </row>
    <row r="9">
      <c r="A9" s="6" t="s">
        <v>19</v>
      </c>
      <c r="B9" s="2">
        <v>2023.0</v>
      </c>
      <c r="C9" s="7">
        <v>498.0</v>
      </c>
      <c r="D9" s="7">
        <v>272.0</v>
      </c>
      <c r="E9" s="7">
        <v>106.0</v>
      </c>
      <c r="F9" s="7">
        <v>70.0</v>
      </c>
      <c r="G9" s="8">
        <v>80.0</v>
      </c>
      <c r="H9" s="9">
        <v>0.347</v>
      </c>
      <c r="I9" s="10">
        <v>17.0</v>
      </c>
      <c r="J9" s="8">
        <v>386.0</v>
      </c>
      <c r="K9" s="12">
        <f t="shared" si="1"/>
        <v>0.7751004016</v>
      </c>
      <c r="L9" s="7"/>
      <c r="M9" s="7"/>
      <c r="N9" s="13"/>
      <c r="O9" s="7"/>
      <c r="P9" s="7"/>
      <c r="Q9" s="7"/>
      <c r="R9" s="7"/>
      <c r="S9" s="7"/>
      <c r="T9" s="13"/>
    </row>
    <row r="10">
      <c r="A10" s="6" t="s">
        <v>20</v>
      </c>
      <c r="B10" s="2">
        <v>2023.0</v>
      </c>
      <c r="C10" s="7">
        <v>603.0</v>
      </c>
      <c r="D10" s="7">
        <v>378.0</v>
      </c>
      <c r="E10" s="7">
        <v>81.0</v>
      </c>
      <c r="F10" s="7">
        <v>1109.0</v>
      </c>
      <c r="G10" s="8">
        <v>64.0</v>
      </c>
      <c r="H10" s="9">
        <v>0.415</v>
      </c>
      <c r="I10" s="10">
        <v>57.0</v>
      </c>
      <c r="J10" s="11">
        <v>367.0</v>
      </c>
      <c r="K10" s="12">
        <f t="shared" si="1"/>
        <v>0.6086235489</v>
      </c>
      <c r="L10" s="7"/>
      <c r="M10" s="7"/>
      <c r="N10" s="13"/>
      <c r="O10" s="7"/>
      <c r="P10" s="7"/>
      <c r="Q10" s="7"/>
      <c r="R10" s="7"/>
      <c r="S10" s="7"/>
      <c r="T10" s="13"/>
    </row>
    <row r="11">
      <c r="A11" s="6" t="s">
        <v>21</v>
      </c>
      <c r="B11" s="2">
        <v>2023.0</v>
      </c>
      <c r="C11" s="7">
        <v>20322.0</v>
      </c>
      <c r="D11" s="7">
        <v>8408.0</v>
      </c>
      <c r="E11" s="7">
        <v>8015.0</v>
      </c>
      <c r="F11" s="7">
        <v>1054.0</v>
      </c>
      <c r="G11" s="8">
        <v>5325.0</v>
      </c>
      <c r="H11" s="9">
        <v>0.403</v>
      </c>
      <c r="I11" s="10" t="s">
        <v>13</v>
      </c>
      <c r="J11" s="11">
        <v>8712.0</v>
      </c>
      <c r="K11" s="12">
        <f t="shared" si="1"/>
        <v>0.4286979628</v>
      </c>
      <c r="L11" s="7"/>
      <c r="M11" s="7"/>
      <c r="N11" s="13"/>
      <c r="O11" s="7"/>
      <c r="P11" s="7"/>
      <c r="Q11" s="7"/>
      <c r="R11" s="7"/>
      <c r="S11" s="7"/>
      <c r="T11" s="13"/>
    </row>
    <row r="12">
      <c r="A12" s="6" t="s">
        <v>22</v>
      </c>
      <c r="B12" s="2">
        <v>2023.0</v>
      </c>
      <c r="C12" s="7">
        <v>11154.0</v>
      </c>
      <c r="D12" s="7">
        <v>6659.0</v>
      </c>
      <c r="E12" s="7">
        <v>2152.0</v>
      </c>
      <c r="F12" s="7">
        <v>180.0</v>
      </c>
      <c r="G12" s="8">
        <v>1265.0</v>
      </c>
      <c r="H12" s="9">
        <v>0.403</v>
      </c>
      <c r="I12" s="14">
        <v>3945.0</v>
      </c>
      <c r="J12" s="11">
        <v>4559.0</v>
      </c>
      <c r="K12" s="12">
        <f t="shared" si="1"/>
        <v>0.4087322933</v>
      </c>
      <c r="L12" s="7"/>
      <c r="M12" s="7"/>
      <c r="N12" s="13"/>
      <c r="O12" s="7"/>
      <c r="P12" s="7"/>
      <c r="Q12" s="7"/>
      <c r="R12" s="7"/>
      <c r="S12" s="7"/>
      <c r="T12" s="13"/>
    </row>
    <row r="13">
      <c r="A13" s="6" t="s">
        <v>23</v>
      </c>
      <c r="B13" s="2">
        <v>2023.0</v>
      </c>
      <c r="C13" s="7">
        <v>1032.0</v>
      </c>
      <c r="D13" s="15"/>
      <c r="E13" s="15"/>
      <c r="F13" s="7">
        <v>650.0</v>
      </c>
      <c r="G13" s="8">
        <v>212.0</v>
      </c>
      <c r="H13" s="9">
        <v>0.537</v>
      </c>
      <c r="I13" s="10">
        <v>93.0</v>
      </c>
      <c r="J13" s="11">
        <v>781.0</v>
      </c>
      <c r="K13" s="12">
        <f t="shared" si="1"/>
        <v>0.7567829457</v>
      </c>
      <c r="L13" s="7"/>
      <c r="M13" s="7"/>
      <c r="N13" s="13"/>
      <c r="O13" s="7"/>
      <c r="P13" s="7"/>
      <c r="Q13" s="7"/>
      <c r="R13" s="7"/>
      <c r="S13" s="7"/>
      <c r="T13" s="13"/>
    </row>
    <row r="14">
      <c r="A14" s="6" t="s">
        <v>24</v>
      </c>
      <c r="B14" s="2">
        <v>2023.0</v>
      </c>
      <c r="C14" s="7">
        <v>3937.0</v>
      </c>
      <c r="D14" s="7">
        <v>1436.0</v>
      </c>
      <c r="E14" s="7">
        <v>1577.0</v>
      </c>
      <c r="F14" s="7">
        <v>147.0</v>
      </c>
      <c r="G14" s="8">
        <v>969.0</v>
      </c>
      <c r="H14" s="9">
        <v>0.496</v>
      </c>
      <c r="I14" s="10">
        <v>246.0</v>
      </c>
      <c r="J14" s="11">
        <v>2244.0</v>
      </c>
      <c r="K14" s="12">
        <f t="shared" si="1"/>
        <v>0.56997714</v>
      </c>
      <c r="L14" s="7"/>
      <c r="M14" s="7"/>
      <c r="N14" s="13"/>
      <c r="O14" s="7"/>
      <c r="P14" s="7"/>
      <c r="Q14" s="7"/>
      <c r="R14" s="7"/>
      <c r="S14" s="7"/>
      <c r="T14" s="13"/>
    </row>
    <row r="15">
      <c r="A15" s="6" t="s">
        <v>25</v>
      </c>
      <c r="B15" s="2">
        <v>2023.0</v>
      </c>
      <c r="C15" s="7">
        <v>1537.0</v>
      </c>
      <c r="D15" s="7">
        <v>753.0</v>
      </c>
      <c r="E15" s="7">
        <v>333.0</v>
      </c>
      <c r="F15" s="7">
        <v>3055.0</v>
      </c>
      <c r="G15" s="8">
        <v>290.0</v>
      </c>
      <c r="H15" s="9">
        <v>0.626</v>
      </c>
      <c r="I15" s="10" t="s">
        <v>13</v>
      </c>
      <c r="J15" s="11">
        <v>1187.0</v>
      </c>
      <c r="K15" s="12">
        <f t="shared" si="1"/>
        <v>0.7722836695</v>
      </c>
      <c r="L15" s="7"/>
      <c r="M15" s="7"/>
      <c r="N15" s="13"/>
      <c r="O15" s="7"/>
      <c r="P15" s="7"/>
      <c r="Q15" s="7"/>
      <c r="R15" s="7"/>
      <c r="S15" s="7"/>
      <c r="T15" s="13"/>
    </row>
    <row r="16">
      <c r="A16" s="6" t="s">
        <v>26</v>
      </c>
      <c r="B16" s="2">
        <v>2023.0</v>
      </c>
      <c r="C16" s="7">
        <v>19486.0</v>
      </c>
      <c r="D16" s="7">
        <v>7615.0</v>
      </c>
      <c r="E16" s="7">
        <v>8965.0</v>
      </c>
      <c r="F16" s="7">
        <v>1097.0</v>
      </c>
      <c r="G16" s="8">
        <v>1991.0</v>
      </c>
      <c r="H16" s="9">
        <v>0.517</v>
      </c>
      <c r="I16" s="14">
        <v>5547.0</v>
      </c>
      <c r="J16" s="11">
        <v>8188.0</v>
      </c>
      <c r="K16" s="12">
        <f t="shared" si="1"/>
        <v>0.4201991173</v>
      </c>
      <c r="L16" s="7"/>
      <c r="M16" s="7"/>
      <c r="N16" s="13"/>
      <c r="O16" s="7"/>
      <c r="P16" s="7"/>
      <c r="Q16" s="7"/>
      <c r="R16" s="7"/>
      <c r="S16" s="7"/>
      <c r="T16" s="13"/>
    </row>
    <row r="17">
      <c r="A17" s="6" t="s">
        <v>27</v>
      </c>
      <c r="B17" s="2">
        <v>2023.0</v>
      </c>
      <c r="C17" s="7">
        <v>10563.0</v>
      </c>
      <c r="D17" s="7">
        <v>3310.0</v>
      </c>
      <c r="E17" s="7">
        <v>4153.0</v>
      </c>
      <c r="F17" s="7">
        <v>1615.0</v>
      </c>
      <c r="G17" s="8">
        <v>1914.0</v>
      </c>
      <c r="H17" s="9">
        <v>0.502</v>
      </c>
      <c r="I17" s="10" t="s">
        <v>13</v>
      </c>
      <c r="J17" s="11">
        <v>4531.0</v>
      </c>
      <c r="K17" s="12">
        <f t="shared" si="1"/>
        <v>0.4289501089</v>
      </c>
      <c r="L17" s="7"/>
      <c r="M17" s="7"/>
      <c r="N17" s="13"/>
      <c r="O17" s="7"/>
      <c r="P17" s="7"/>
      <c r="Q17" s="7"/>
      <c r="R17" s="7"/>
      <c r="S17" s="7"/>
      <c r="T17" s="13"/>
    </row>
    <row r="18">
      <c r="A18" s="6" t="s">
        <v>28</v>
      </c>
      <c r="B18" s="2">
        <v>2023.0</v>
      </c>
      <c r="C18" s="7">
        <v>6449.0</v>
      </c>
      <c r="D18" s="7">
        <v>2717.0</v>
      </c>
      <c r="E18" s="7">
        <v>2003.0</v>
      </c>
      <c r="F18" s="7">
        <v>1600.0</v>
      </c>
      <c r="G18" s="8">
        <v>1142.0</v>
      </c>
      <c r="H18" s="9">
        <v>0.497</v>
      </c>
      <c r="I18" s="10">
        <v>72.0</v>
      </c>
      <c r="J18" s="11">
        <v>2343.0</v>
      </c>
      <c r="K18" s="12">
        <f t="shared" si="1"/>
        <v>0.3633121414</v>
      </c>
      <c r="L18" s="7"/>
      <c r="M18" s="7"/>
      <c r="N18" s="13"/>
      <c r="O18" s="7"/>
      <c r="P18" s="7"/>
      <c r="Q18" s="7"/>
      <c r="R18" s="7"/>
      <c r="S18" s="7"/>
      <c r="T18" s="13"/>
    </row>
    <row r="19">
      <c r="A19" s="6" t="s">
        <v>29</v>
      </c>
      <c r="B19" s="2">
        <v>2023.0</v>
      </c>
      <c r="C19" s="7">
        <v>8231.0</v>
      </c>
      <c r="D19" s="7">
        <v>4090.0</v>
      </c>
      <c r="E19" s="7">
        <v>1123.0</v>
      </c>
      <c r="F19" s="7">
        <v>520.0</v>
      </c>
      <c r="G19" s="8">
        <v>1431.0</v>
      </c>
      <c r="H19" s="9">
        <v>0.387</v>
      </c>
      <c r="I19" s="14">
        <v>4505.0</v>
      </c>
      <c r="J19" s="11">
        <v>5185.0</v>
      </c>
      <c r="K19" s="12">
        <f t="shared" si="1"/>
        <v>0.6299356093</v>
      </c>
      <c r="L19" s="7"/>
      <c r="M19" s="7"/>
      <c r="N19" s="13"/>
      <c r="O19" s="7"/>
      <c r="P19" s="7"/>
      <c r="Q19" s="7"/>
      <c r="R19" s="7"/>
      <c r="S19" s="7"/>
      <c r="T19" s="13"/>
    </row>
    <row r="20">
      <c r="A20" s="6" t="s">
        <v>30</v>
      </c>
      <c r="B20" s="2">
        <v>2023.0</v>
      </c>
      <c r="C20" s="7">
        <v>4410.0</v>
      </c>
      <c r="D20" s="7">
        <v>1798.0</v>
      </c>
      <c r="E20" s="7">
        <v>1831.0</v>
      </c>
      <c r="F20" s="7">
        <v>1234.0</v>
      </c>
      <c r="G20" s="8">
        <v>619.0</v>
      </c>
      <c r="H20" s="9">
        <v>0.479</v>
      </c>
      <c r="I20" s="14">
        <v>2122.0</v>
      </c>
      <c r="J20" s="11">
        <v>1659.0</v>
      </c>
      <c r="K20" s="12">
        <f t="shared" si="1"/>
        <v>0.3761904762</v>
      </c>
      <c r="L20" s="7"/>
      <c r="M20" s="7"/>
      <c r="N20" s="13"/>
      <c r="O20" s="7"/>
      <c r="P20" s="7"/>
      <c r="Q20" s="7"/>
      <c r="R20" s="7"/>
      <c r="S20" s="7"/>
      <c r="T20" s="13"/>
    </row>
    <row r="21">
      <c r="A21" s="6" t="s">
        <v>31</v>
      </c>
      <c r="B21" s="2">
        <v>2023.0</v>
      </c>
      <c r="C21" s="7">
        <v>8922.0</v>
      </c>
      <c r="D21" s="7">
        <v>5998.0</v>
      </c>
      <c r="E21" s="7">
        <v>122.0</v>
      </c>
      <c r="F21" s="7">
        <v>80.0</v>
      </c>
      <c r="G21" s="8">
        <v>847.0</v>
      </c>
      <c r="H21" s="9">
        <v>0.567</v>
      </c>
      <c r="I21" s="10" t="s">
        <v>32</v>
      </c>
      <c r="J21" s="11">
        <v>5159.0</v>
      </c>
      <c r="K21" s="12">
        <f t="shared" si="1"/>
        <v>0.5782335799</v>
      </c>
      <c r="L21" s="7"/>
      <c r="M21" s="7"/>
      <c r="N21" s="13"/>
      <c r="O21" s="7"/>
      <c r="P21" s="7"/>
      <c r="Q21" s="7"/>
      <c r="R21" s="7"/>
      <c r="S21" s="7"/>
      <c r="T21" s="13"/>
    </row>
    <row r="22">
      <c r="A22" s="6" t="s">
        <v>33</v>
      </c>
      <c r="B22" s="2">
        <v>2023.0</v>
      </c>
      <c r="C22" s="7">
        <v>3819.0</v>
      </c>
      <c r="D22" s="7">
        <v>1643.0</v>
      </c>
      <c r="E22" s="7">
        <v>873.0</v>
      </c>
      <c r="F22" s="7">
        <v>140.0</v>
      </c>
      <c r="G22" s="8">
        <v>330.0</v>
      </c>
      <c r="H22" s="9">
        <v>0.399</v>
      </c>
      <c r="I22" s="10">
        <v>348.0</v>
      </c>
      <c r="J22" s="11">
        <v>1462.0</v>
      </c>
      <c r="K22" s="12">
        <f t="shared" si="1"/>
        <v>0.3828227285</v>
      </c>
      <c r="L22" s="7"/>
      <c r="M22" s="7"/>
      <c r="N22" s="13"/>
      <c r="O22" s="7"/>
      <c r="P22" s="7"/>
      <c r="Q22" s="7"/>
      <c r="R22" s="7"/>
      <c r="S22" s="7"/>
      <c r="T22" s="13"/>
    </row>
    <row r="23">
      <c r="A23" s="6" t="s">
        <v>34</v>
      </c>
      <c r="B23" s="2">
        <v>2023.0</v>
      </c>
      <c r="C23" s="7">
        <v>2497.0</v>
      </c>
      <c r="D23" s="7">
        <v>1161.0</v>
      </c>
      <c r="E23" s="7">
        <v>878.0</v>
      </c>
      <c r="F23" s="7">
        <v>1517.0</v>
      </c>
      <c r="G23" s="8">
        <v>376.0</v>
      </c>
      <c r="H23" s="9">
        <v>0.432</v>
      </c>
      <c r="I23" s="14">
        <v>3098.0</v>
      </c>
      <c r="J23" s="11">
        <v>1767.0</v>
      </c>
      <c r="K23" s="12">
        <f t="shared" si="1"/>
        <v>0.707649179</v>
      </c>
      <c r="L23" s="7"/>
      <c r="M23" s="7"/>
      <c r="N23" s="13"/>
      <c r="O23" s="7"/>
      <c r="P23" s="7"/>
      <c r="Q23" s="7"/>
      <c r="R23" s="7"/>
      <c r="S23" s="7"/>
      <c r="T23" s="13"/>
    </row>
    <row r="24">
      <c r="A24" s="6" t="s">
        <v>35</v>
      </c>
      <c r="B24" s="2">
        <v>2023.0</v>
      </c>
      <c r="C24" s="7">
        <v>9504.0</v>
      </c>
      <c r="D24" s="7">
        <v>2545.0</v>
      </c>
      <c r="E24" s="7">
        <v>4522.0</v>
      </c>
      <c r="F24" s="7">
        <v>995.0</v>
      </c>
      <c r="G24" s="8">
        <v>1615.0</v>
      </c>
      <c r="H24" s="9">
        <v>0.354</v>
      </c>
      <c r="I24" s="14">
        <v>1373.0</v>
      </c>
      <c r="J24" s="11">
        <v>4169.0</v>
      </c>
      <c r="K24" s="12">
        <f t="shared" si="1"/>
        <v>0.4386574074</v>
      </c>
      <c r="L24" s="7"/>
      <c r="M24" s="7"/>
      <c r="N24" s="13"/>
      <c r="O24" s="7"/>
      <c r="P24" s="7"/>
      <c r="Q24" s="7"/>
      <c r="R24" s="7"/>
      <c r="S24" s="7"/>
      <c r="T24" s="13"/>
    </row>
    <row r="25">
      <c r="A25" s="6" t="s">
        <v>36</v>
      </c>
      <c r="B25" s="2">
        <v>2023.0</v>
      </c>
      <c r="C25" s="7">
        <v>5954.0</v>
      </c>
      <c r="D25" s="7">
        <v>1504.0</v>
      </c>
      <c r="E25" s="7">
        <v>2018.0</v>
      </c>
      <c r="F25" s="7">
        <v>374.0</v>
      </c>
      <c r="G25" s="8">
        <v>1358.0</v>
      </c>
      <c r="H25" s="9">
        <v>0.493</v>
      </c>
      <c r="I25" s="10">
        <v>39.0</v>
      </c>
      <c r="J25" s="11">
        <v>3766.0</v>
      </c>
      <c r="K25" s="12">
        <f t="shared" si="1"/>
        <v>0.6325159557</v>
      </c>
      <c r="L25" s="7"/>
      <c r="M25" s="7"/>
      <c r="N25" s="13"/>
      <c r="O25" s="7"/>
      <c r="P25" s="7"/>
      <c r="Q25" s="7"/>
      <c r="R25" s="7"/>
      <c r="S25" s="7"/>
      <c r="T25" s="13"/>
    </row>
    <row r="26">
      <c r="A26" s="6" t="s">
        <v>37</v>
      </c>
      <c r="B26" s="2">
        <v>2023.0</v>
      </c>
      <c r="C26" s="7">
        <v>12100.0</v>
      </c>
      <c r="D26" s="7">
        <v>2969.0</v>
      </c>
      <c r="E26" s="7">
        <v>4601.0</v>
      </c>
      <c r="F26" s="7">
        <v>479.0</v>
      </c>
      <c r="G26" s="8">
        <v>1373.0</v>
      </c>
      <c r="H26" s="9">
        <v>0.467</v>
      </c>
      <c r="I26" s="10" t="s">
        <v>32</v>
      </c>
      <c r="J26" s="11">
        <v>4567.0</v>
      </c>
      <c r="K26" s="12">
        <f t="shared" si="1"/>
        <v>0.3774380165</v>
      </c>
      <c r="L26" s="7"/>
      <c r="M26" s="7"/>
      <c r="N26" s="13"/>
      <c r="O26" s="7"/>
      <c r="P26" s="7"/>
      <c r="Q26" s="7"/>
      <c r="R26" s="7"/>
      <c r="S26" s="7"/>
      <c r="T26" s="13"/>
    </row>
    <row r="27">
      <c r="A27" s="6" t="s">
        <v>38</v>
      </c>
      <c r="B27" s="2">
        <v>2023.0</v>
      </c>
      <c r="C27" s="7">
        <v>3592.0</v>
      </c>
      <c r="D27" s="7">
        <v>1547.0</v>
      </c>
      <c r="E27" s="7">
        <v>1230.0</v>
      </c>
      <c r="F27" s="7">
        <v>288.0</v>
      </c>
      <c r="G27" s="8">
        <v>585.0</v>
      </c>
      <c r="H27" s="9">
        <v>0.442</v>
      </c>
      <c r="I27" s="10">
        <v>171.0</v>
      </c>
      <c r="J27" s="11">
        <v>1691.0</v>
      </c>
      <c r="K27" s="12">
        <f t="shared" si="1"/>
        <v>0.4707683742</v>
      </c>
      <c r="L27" s="7"/>
      <c r="M27" s="7"/>
      <c r="N27" s="13"/>
      <c r="O27" s="7"/>
      <c r="P27" s="7"/>
      <c r="Q27" s="7"/>
      <c r="R27" s="7"/>
      <c r="S27" s="7"/>
      <c r="T27" s="13"/>
    </row>
    <row r="28">
      <c r="A28" s="6" t="s">
        <v>39</v>
      </c>
      <c r="B28" s="2">
        <v>2023.0</v>
      </c>
      <c r="C28" s="7">
        <v>2332.0</v>
      </c>
      <c r="D28" s="7">
        <v>1625.0</v>
      </c>
      <c r="E28" s="7">
        <v>121.0</v>
      </c>
      <c r="F28" s="7">
        <v>1195.0</v>
      </c>
      <c r="G28" s="8">
        <v>298.0</v>
      </c>
      <c r="H28" s="9">
        <v>0.543</v>
      </c>
      <c r="I28" s="10">
        <v>198.0</v>
      </c>
      <c r="J28" s="11">
        <v>1200.0</v>
      </c>
      <c r="K28" s="12">
        <f t="shared" si="1"/>
        <v>0.5145797599</v>
      </c>
      <c r="L28" s="7"/>
      <c r="M28" s="7"/>
      <c r="N28" s="13"/>
      <c r="O28" s="7"/>
      <c r="P28" s="7"/>
      <c r="Q28" s="7"/>
      <c r="R28" s="7"/>
      <c r="S28" s="7"/>
      <c r="T28" s="13"/>
    </row>
    <row r="29">
      <c r="A29" s="6" t="s">
        <v>40</v>
      </c>
      <c r="B29" s="2">
        <v>2023.0</v>
      </c>
      <c r="C29" s="7">
        <v>11823.0</v>
      </c>
      <c r="D29" s="7">
        <v>6055.0</v>
      </c>
      <c r="E29" s="7">
        <v>2782.0</v>
      </c>
      <c r="F29" s="7">
        <v>178.0</v>
      </c>
      <c r="G29" s="8">
        <v>1170.0</v>
      </c>
      <c r="H29" s="9">
        <v>0.382</v>
      </c>
      <c r="I29" s="10">
        <v>275.0</v>
      </c>
      <c r="J29" s="11">
        <v>5616.0</v>
      </c>
      <c r="K29" s="12">
        <f t="shared" si="1"/>
        <v>0.4750063436</v>
      </c>
      <c r="L29" s="7"/>
      <c r="M29" s="7"/>
      <c r="N29" s="13"/>
      <c r="O29" s="7"/>
      <c r="P29" s="7"/>
      <c r="Q29" s="7"/>
      <c r="R29" s="7"/>
      <c r="S29" s="7"/>
      <c r="T29" s="13"/>
    </row>
    <row r="30">
      <c r="A30" s="6" t="s">
        <v>41</v>
      </c>
      <c r="B30" s="2">
        <v>2023.0</v>
      </c>
      <c r="C30" s="7">
        <v>1473.0</v>
      </c>
      <c r="D30" s="7">
        <v>723.0</v>
      </c>
      <c r="E30" s="7">
        <v>369.0</v>
      </c>
      <c r="F30" s="7">
        <v>241.0</v>
      </c>
      <c r="G30" s="8">
        <v>171.0</v>
      </c>
      <c r="H30" s="9">
        <v>0.502</v>
      </c>
      <c r="I30" s="14">
        <v>1034.0</v>
      </c>
      <c r="J30" s="8">
        <v>974.0</v>
      </c>
      <c r="K30" s="12">
        <f t="shared" si="1"/>
        <v>0.6612355737</v>
      </c>
      <c r="L30" s="7"/>
      <c r="M30" s="7"/>
      <c r="N30" s="13"/>
      <c r="O30" s="7"/>
      <c r="P30" s="7"/>
      <c r="Q30" s="7"/>
      <c r="R30" s="7"/>
      <c r="S30" s="7"/>
      <c r="T30" s="13"/>
    </row>
    <row r="31">
      <c r="A31" s="6" t="s">
        <v>42</v>
      </c>
      <c r="B31" s="2">
        <v>2023.0</v>
      </c>
      <c r="C31" s="7">
        <v>3718.0</v>
      </c>
      <c r="D31" s="7">
        <v>1416.0</v>
      </c>
      <c r="E31" s="7">
        <v>1243.0</v>
      </c>
      <c r="F31" s="7">
        <v>69.0</v>
      </c>
      <c r="G31" s="8">
        <v>435.0</v>
      </c>
      <c r="H31" s="9">
        <v>0.568</v>
      </c>
      <c r="I31" s="10">
        <v>114.0</v>
      </c>
      <c r="J31" s="11">
        <v>1502.0</v>
      </c>
      <c r="K31" s="12">
        <f t="shared" si="1"/>
        <v>0.4039806347</v>
      </c>
      <c r="L31" s="7"/>
      <c r="M31" s="7"/>
      <c r="N31" s="13"/>
      <c r="O31" s="7"/>
      <c r="P31" s="7"/>
      <c r="Q31" s="7"/>
      <c r="R31" s="7"/>
      <c r="S31" s="7"/>
      <c r="T31" s="13"/>
    </row>
    <row r="32">
      <c r="A32" s="6" t="s">
        <v>43</v>
      </c>
      <c r="B32" s="2">
        <v>2023.0</v>
      </c>
      <c r="C32" s="7">
        <v>1159.0</v>
      </c>
      <c r="D32" s="7">
        <v>445.0</v>
      </c>
      <c r="E32" s="7">
        <v>345.0</v>
      </c>
      <c r="F32" s="7">
        <v>333.0</v>
      </c>
      <c r="G32" s="8">
        <v>208.0</v>
      </c>
      <c r="H32" s="9">
        <v>0.56</v>
      </c>
      <c r="I32" s="10">
        <v>737.0</v>
      </c>
      <c r="J32" s="11">
        <v>599.0</v>
      </c>
      <c r="K32" s="12">
        <f t="shared" si="1"/>
        <v>0.516824849</v>
      </c>
      <c r="L32" s="7"/>
      <c r="M32" s="7"/>
      <c r="N32" s="13"/>
      <c r="O32" s="7"/>
      <c r="P32" s="7"/>
      <c r="Q32" s="7"/>
      <c r="R32" s="7"/>
      <c r="S32" s="7"/>
      <c r="T32" s="13"/>
    </row>
    <row r="33">
      <c r="A33" s="6" t="s">
        <v>44</v>
      </c>
      <c r="B33" s="2">
        <v>2023.0</v>
      </c>
      <c r="C33" s="7">
        <v>2804.0</v>
      </c>
      <c r="D33" s="7">
        <v>1442.0</v>
      </c>
      <c r="E33" s="7">
        <v>1124.0</v>
      </c>
      <c r="F33" s="7">
        <v>457.0</v>
      </c>
      <c r="G33" s="8">
        <v>422.0</v>
      </c>
      <c r="H33" s="9">
        <v>0.432</v>
      </c>
      <c r="I33" s="10">
        <v>114.0</v>
      </c>
      <c r="J33" s="11">
        <v>2449.0</v>
      </c>
      <c r="K33" s="12">
        <f t="shared" si="1"/>
        <v>0.8733951498</v>
      </c>
      <c r="L33" s="7"/>
      <c r="M33" s="7"/>
      <c r="N33" s="13"/>
      <c r="O33" s="7"/>
      <c r="P33" s="7"/>
      <c r="Q33" s="7"/>
      <c r="R33" s="7"/>
      <c r="S33" s="7"/>
      <c r="T33" s="13"/>
    </row>
    <row r="34">
      <c r="A34" s="6" t="s">
        <v>45</v>
      </c>
      <c r="B34" s="2">
        <v>2023.0</v>
      </c>
      <c r="C34" s="7">
        <v>2143.0</v>
      </c>
      <c r="D34" s="7">
        <v>926.0</v>
      </c>
      <c r="E34" s="7">
        <v>779.0</v>
      </c>
      <c r="F34" s="7">
        <v>549.0</v>
      </c>
      <c r="G34" s="8">
        <v>180.0</v>
      </c>
      <c r="H34" s="9">
        <v>0.564</v>
      </c>
      <c r="I34" s="10" t="s">
        <v>13</v>
      </c>
      <c r="J34" s="11">
        <v>1007.0</v>
      </c>
      <c r="K34" s="12">
        <f t="shared" si="1"/>
        <v>0.4699020065</v>
      </c>
      <c r="L34" s="7"/>
      <c r="M34" s="7"/>
      <c r="N34" s="13"/>
      <c r="O34" s="7"/>
      <c r="P34" s="7"/>
      <c r="Q34" s="7"/>
      <c r="R34" s="7"/>
      <c r="S34" s="7"/>
      <c r="T34" s="13"/>
    </row>
    <row r="35">
      <c r="A35" s="6" t="s">
        <v>46</v>
      </c>
      <c r="B35" s="2">
        <v>2023.0</v>
      </c>
      <c r="C35" s="7">
        <v>4006.0</v>
      </c>
      <c r="D35" s="7">
        <v>1605.0</v>
      </c>
      <c r="E35" s="7">
        <v>1703.0</v>
      </c>
      <c r="F35" s="7">
        <v>1170.0</v>
      </c>
      <c r="G35" s="8">
        <v>743.0</v>
      </c>
      <c r="H35" s="9">
        <v>0.574</v>
      </c>
      <c r="I35" s="10">
        <v>240.0</v>
      </c>
      <c r="J35" s="11">
        <v>1099.0</v>
      </c>
      <c r="K35" s="12">
        <f t="shared" si="1"/>
        <v>0.2743384923</v>
      </c>
      <c r="L35" s="7"/>
      <c r="M35" s="7"/>
      <c r="N35" s="13"/>
      <c r="O35" s="7"/>
      <c r="P35" s="7"/>
      <c r="Q35" s="7"/>
      <c r="R35" s="7"/>
      <c r="S35" s="7"/>
      <c r="T35" s="13"/>
    </row>
    <row r="36">
      <c r="A36" s="6" t="s">
        <v>47</v>
      </c>
      <c r="B36" s="2">
        <v>2023.0</v>
      </c>
      <c r="C36" s="7">
        <v>14928.0</v>
      </c>
      <c r="D36" s="7">
        <v>6350.0</v>
      </c>
      <c r="E36" s="7">
        <v>5028.0</v>
      </c>
      <c r="F36" s="7">
        <v>3955.0</v>
      </c>
      <c r="G36" s="8">
        <v>1525.0</v>
      </c>
      <c r="H36" s="9">
        <v>0.441</v>
      </c>
      <c r="I36" s="10">
        <v>109.0</v>
      </c>
      <c r="J36" s="11">
        <v>10490.0</v>
      </c>
      <c r="K36" s="12">
        <f t="shared" si="1"/>
        <v>0.7027063237</v>
      </c>
      <c r="L36" s="7"/>
      <c r="M36" s="7"/>
      <c r="N36" s="13"/>
      <c r="O36" s="7"/>
      <c r="P36" s="7"/>
      <c r="Q36" s="7"/>
      <c r="R36" s="7"/>
      <c r="S36" s="7"/>
      <c r="T36" s="13"/>
    </row>
    <row r="37">
      <c r="A37" s="6" t="s">
        <v>48</v>
      </c>
      <c r="B37" s="2">
        <v>2023.0</v>
      </c>
      <c r="C37" s="7">
        <v>15616.0</v>
      </c>
      <c r="D37" s="7">
        <v>8212.0</v>
      </c>
      <c r="E37" s="7">
        <v>3512.0</v>
      </c>
      <c r="F37" s="7">
        <v>1444.0</v>
      </c>
      <c r="G37" s="8">
        <v>2306.0</v>
      </c>
      <c r="H37" s="9">
        <v>0.333</v>
      </c>
      <c r="I37" s="10">
        <v>77.0</v>
      </c>
      <c r="J37" s="11">
        <v>7349.0</v>
      </c>
      <c r="K37" s="12">
        <f t="shared" si="1"/>
        <v>0.4706070697</v>
      </c>
      <c r="L37" s="7"/>
      <c r="M37" s="7"/>
      <c r="N37" s="13"/>
      <c r="O37" s="7"/>
      <c r="P37" s="7"/>
      <c r="Q37" s="7"/>
      <c r="R37" s="7"/>
      <c r="S37" s="7"/>
      <c r="T37" s="13"/>
    </row>
    <row r="38">
      <c r="A38" s="6" t="s">
        <v>49</v>
      </c>
      <c r="B38" s="2">
        <v>2023.0</v>
      </c>
      <c r="C38" s="7">
        <v>6494.0</v>
      </c>
      <c r="D38" s="7">
        <v>3188.0</v>
      </c>
      <c r="E38" s="7">
        <v>1916.0</v>
      </c>
      <c r="F38" s="7">
        <v>169.0</v>
      </c>
      <c r="G38" s="8">
        <v>1713.0</v>
      </c>
      <c r="H38" s="9">
        <v>0.395</v>
      </c>
      <c r="I38" s="10">
        <v>516.0</v>
      </c>
      <c r="J38" s="11">
        <v>4281.0</v>
      </c>
      <c r="K38" s="12">
        <f t="shared" si="1"/>
        <v>0.659223899</v>
      </c>
      <c r="L38" s="7"/>
      <c r="M38" s="7"/>
      <c r="N38" s="13"/>
      <c r="O38" s="7"/>
      <c r="P38" s="7"/>
      <c r="Q38" s="7"/>
      <c r="R38" s="7"/>
      <c r="S38" s="7"/>
      <c r="T38" s="13"/>
    </row>
    <row r="39">
      <c r="A39" s="6" t="s">
        <v>50</v>
      </c>
      <c r="B39" s="2">
        <v>2023.0</v>
      </c>
      <c r="C39" s="7">
        <v>4773.0</v>
      </c>
      <c r="D39" s="7">
        <v>1979.0</v>
      </c>
      <c r="E39" s="7">
        <v>1500.0</v>
      </c>
      <c r="F39" s="7">
        <v>627.0</v>
      </c>
      <c r="G39" s="8">
        <v>548.0</v>
      </c>
      <c r="H39" s="9">
        <v>0.514</v>
      </c>
      <c r="I39" s="10" t="s">
        <v>32</v>
      </c>
      <c r="J39" s="11">
        <v>2959.0</v>
      </c>
      <c r="K39" s="12">
        <f t="shared" si="1"/>
        <v>0.6199455269</v>
      </c>
      <c r="L39" s="7"/>
      <c r="M39" s="7"/>
      <c r="N39" s="13"/>
      <c r="O39" s="7"/>
      <c r="P39" s="7"/>
      <c r="Q39" s="7"/>
      <c r="R39" s="7"/>
      <c r="S39" s="7"/>
      <c r="T39" s="13"/>
    </row>
    <row r="40">
      <c r="A40" s="6" t="s">
        <v>51</v>
      </c>
      <c r="B40" s="2">
        <v>2023.0</v>
      </c>
      <c r="C40" s="7">
        <v>12187.0</v>
      </c>
      <c r="D40" s="7">
        <v>4402.0</v>
      </c>
      <c r="E40" s="7">
        <v>2559.0</v>
      </c>
      <c r="F40" s="7">
        <v>11.0</v>
      </c>
      <c r="G40" s="8">
        <v>1495.0</v>
      </c>
      <c r="H40" s="9">
        <v>0.515</v>
      </c>
      <c r="I40" s="10">
        <v>47.0</v>
      </c>
      <c r="J40" s="11">
        <v>12616.0</v>
      </c>
      <c r="K40" s="12">
        <f t="shared" si="1"/>
        <v>1.035201444</v>
      </c>
      <c r="L40" s="7"/>
      <c r="M40" s="7"/>
      <c r="N40" s="13"/>
      <c r="O40" s="7"/>
      <c r="P40" s="7"/>
      <c r="Q40" s="7"/>
      <c r="R40" s="7"/>
      <c r="S40" s="7"/>
      <c r="T40" s="13"/>
    </row>
    <row r="41">
      <c r="A41" s="6" t="s">
        <v>52</v>
      </c>
      <c r="B41" s="2">
        <v>2023.0</v>
      </c>
      <c r="C41" s="7">
        <v>2456.0</v>
      </c>
      <c r="D41" s="15"/>
      <c r="E41" s="7">
        <v>625.0</v>
      </c>
      <c r="F41" s="7">
        <v>53.0</v>
      </c>
      <c r="G41" s="8">
        <v>48.0</v>
      </c>
      <c r="H41" s="9">
        <v>0.542</v>
      </c>
      <c r="I41" s="14">
        <v>1827.0</v>
      </c>
      <c r="J41" s="16" t="s">
        <v>53</v>
      </c>
      <c r="K41" s="12" t="str">
        <f t="shared" si="1"/>
        <v>#VALUE!</v>
      </c>
      <c r="L41" s="7"/>
      <c r="M41" s="7"/>
      <c r="N41" s="13"/>
      <c r="O41" s="7"/>
      <c r="P41" s="7"/>
      <c r="Q41" s="7"/>
      <c r="R41" s="7"/>
      <c r="S41" s="7"/>
      <c r="T41" s="13"/>
    </row>
    <row r="42">
      <c r="A42" s="6" t="s">
        <v>54</v>
      </c>
      <c r="B42" s="2">
        <v>2023.0</v>
      </c>
      <c r="C42" s="7">
        <v>1747.0</v>
      </c>
      <c r="D42" s="7">
        <v>484.0</v>
      </c>
      <c r="E42" s="7">
        <v>489.0</v>
      </c>
      <c r="F42" s="7">
        <v>741.0</v>
      </c>
      <c r="G42" s="8">
        <v>157.0</v>
      </c>
      <c r="H42" s="9">
        <v>0.462</v>
      </c>
      <c r="I42" s="10" t="s">
        <v>13</v>
      </c>
      <c r="J42" s="8">
        <v>828.0</v>
      </c>
      <c r="K42" s="12">
        <f t="shared" si="1"/>
        <v>0.473955352</v>
      </c>
      <c r="L42" s="7"/>
      <c r="M42" s="7"/>
      <c r="N42" s="13"/>
      <c r="O42" s="7"/>
      <c r="P42" s="7"/>
      <c r="Q42" s="7"/>
      <c r="R42" s="7"/>
      <c r="S42" s="7"/>
      <c r="T42" s="13"/>
    </row>
    <row r="43">
      <c r="A43" s="6" t="s">
        <v>55</v>
      </c>
      <c r="B43" s="2">
        <v>2023.0</v>
      </c>
      <c r="C43" s="7">
        <v>3571.0</v>
      </c>
      <c r="D43" s="7">
        <v>2063.0</v>
      </c>
      <c r="E43" s="7">
        <v>826.0</v>
      </c>
      <c r="F43" s="7">
        <v>438.0</v>
      </c>
      <c r="G43" s="8">
        <v>661.0</v>
      </c>
      <c r="H43" s="9">
        <v>0.459</v>
      </c>
      <c r="I43" s="10">
        <v>544.0</v>
      </c>
      <c r="J43" s="11">
        <v>1040.0</v>
      </c>
      <c r="K43" s="12">
        <f t="shared" si="1"/>
        <v>0.2912349482</v>
      </c>
      <c r="L43" s="7"/>
      <c r="M43" s="7"/>
      <c r="N43" s="13"/>
      <c r="O43" s="7"/>
      <c r="P43" s="7"/>
      <c r="Q43" s="7"/>
      <c r="R43" s="7"/>
      <c r="S43" s="7"/>
      <c r="T43" s="13"/>
    </row>
    <row r="44">
      <c r="A44" s="6" t="s">
        <v>56</v>
      </c>
      <c r="B44" s="2">
        <v>2023.0</v>
      </c>
      <c r="C44" s="7">
        <v>1661.0</v>
      </c>
      <c r="D44" s="7">
        <v>857.0</v>
      </c>
      <c r="E44" s="7">
        <v>416.0</v>
      </c>
      <c r="F44" s="7">
        <v>828.0</v>
      </c>
      <c r="G44" s="8">
        <v>250.0</v>
      </c>
      <c r="H44" s="9">
        <v>0.419</v>
      </c>
      <c r="I44" s="10" t="s">
        <v>13</v>
      </c>
      <c r="J44" s="8">
        <v>835.0</v>
      </c>
      <c r="K44" s="12">
        <f t="shared" si="1"/>
        <v>0.5027092113</v>
      </c>
      <c r="L44" s="7"/>
      <c r="M44" s="7"/>
      <c r="N44" s="13"/>
      <c r="O44" s="7"/>
      <c r="P44" s="7"/>
      <c r="Q44" s="7"/>
      <c r="R44" s="7"/>
      <c r="S44" s="7"/>
      <c r="T44" s="13"/>
    </row>
    <row r="45">
      <c r="A45" s="6" t="s">
        <v>57</v>
      </c>
      <c r="B45" s="2">
        <v>2023.0</v>
      </c>
      <c r="C45" s="7">
        <v>9065.0</v>
      </c>
      <c r="D45" s="7">
        <v>1183.0</v>
      </c>
      <c r="E45" s="7">
        <v>201.0</v>
      </c>
      <c r="F45" s="7">
        <v>250.0</v>
      </c>
      <c r="G45" s="8">
        <v>1112.0</v>
      </c>
      <c r="H45" s="9">
        <v>0.449</v>
      </c>
      <c r="I45" s="10" t="s">
        <v>13</v>
      </c>
      <c r="J45" s="11">
        <v>4509.0</v>
      </c>
      <c r="K45" s="12">
        <f t="shared" si="1"/>
        <v>0.4974076117</v>
      </c>
      <c r="L45" s="7"/>
      <c r="M45" s="7"/>
      <c r="N45" s="13"/>
      <c r="O45" s="7"/>
      <c r="P45" s="7"/>
      <c r="Q45" s="7"/>
      <c r="R45" s="7"/>
      <c r="S45" s="7"/>
      <c r="T45" s="13"/>
    </row>
    <row r="46">
      <c r="A46" s="6" t="s">
        <v>58</v>
      </c>
      <c r="B46" s="2">
        <v>2023.0</v>
      </c>
      <c r="C46" s="7">
        <v>19168.0</v>
      </c>
      <c r="D46" s="7">
        <v>9254.0</v>
      </c>
      <c r="E46" s="7">
        <v>5136.0</v>
      </c>
      <c r="F46" s="7">
        <v>824.0</v>
      </c>
      <c r="G46" s="8">
        <v>3861.0</v>
      </c>
      <c r="H46" s="9">
        <v>0.345</v>
      </c>
      <c r="I46" s="14">
        <v>14743.0</v>
      </c>
      <c r="J46" s="17" t="s">
        <v>53</v>
      </c>
      <c r="K46" s="12" t="str">
        <f t="shared" si="1"/>
        <v>#VALUE!</v>
      </c>
      <c r="L46" s="7"/>
      <c r="M46" s="7"/>
      <c r="N46" s="13"/>
      <c r="O46" s="7"/>
      <c r="P46" s="7"/>
      <c r="Q46" s="7"/>
      <c r="R46" s="7"/>
      <c r="S46" s="7"/>
      <c r="T46" s="13"/>
    </row>
    <row r="47">
      <c r="A47" s="6" t="s">
        <v>59</v>
      </c>
      <c r="B47" s="2">
        <v>2023.0</v>
      </c>
      <c r="C47" s="7">
        <v>1866.0</v>
      </c>
      <c r="D47" s="7">
        <v>873.0</v>
      </c>
      <c r="E47" s="7">
        <v>541.0</v>
      </c>
      <c r="F47" s="7">
        <v>210.0</v>
      </c>
      <c r="G47" s="8">
        <v>397.0</v>
      </c>
      <c r="H47" s="9">
        <v>0.455</v>
      </c>
      <c r="I47" s="10">
        <v>959.0</v>
      </c>
      <c r="J47" s="11">
        <v>1120.0</v>
      </c>
      <c r="K47" s="12">
        <f t="shared" si="1"/>
        <v>0.6002143623</v>
      </c>
      <c r="L47" s="7"/>
      <c r="M47" s="7"/>
      <c r="N47" s="13"/>
      <c r="O47" s="7"/>
      <c r="P47" s="7"/>
      <c r="Q47" s="7"/>
      <c r="R47" s="7"/>
      <c r="S47" s="7"/>
      <c r="T47" s="13"/>
    </row>
    <row r="48">
      <c r="A48" s="6" t="s">
        <v>60</v>
      </c>
      <c r="B48" s="2">
        <v>2023.0</v>
      </c>
      <c r="C48" s="7">
        <v>4953.0</v>
      </c>
      <c r="D48" s="7">
        <v>2841.0</v>
      </c>
      <c r="E48" s="7">
        <v>370.0</v>
      </c>
      <c r="F48" s="7">
        <v>1033.0</v>
      </c>
      <c r="G48" s="8">
        <v>703.0</v>
      </c>
      <c r="H48" s="9">
        <v>0.272</v>
      </c>
      <c r="I48" s="10" t="s">
        <v>13</v>
      </c>
      <c r="J48" s="11">
        <v>4735.0</v>
      </c>
      <c r="K48" s="12">
        <f t="shared" si="1"/>
        <v>0.9559862709</v>
      </c>
      <c r="L48" s="7"/>
      <c r="M48" s="7"/>
      <c r="N48" s="13"/>
      <c r="O48" s="7"/>
      <c r="P48" s="7"/>
      <c r="Q48" s="7"/>
      <c r="R48" s="7"/>
      <c r="S48" s="7"/>
      <c r="T48" s="13"/>
    </row>
    <row r="49">
      <c r="A49" s="6" t="s">
        <v>61</v>
      </c>
      <c r="B49" s="2">
        <v>2023.0</v>
      </c>
      <c r="C49" s="7">
        <v>1006.0</v>
      </c>
      <c r="D49" s="7">
        <v>145.0</v>
      </c>
      <c r="E49" s="7">
        <v>346.0</v>
      </c>
      <c r="F49" s="7">
        <v>527.0</v>
      </c>
      <c r="G49" s="8">
        <v>168.0</v>
      </c>
      <c r="H49" s="9">
        <v>0.478</v>
      </c>
      <c r="I49" s="10" t="s">
        <v>13</v>
      </c>
      <c r="J49" s="8">
        <v>810.0</v>
      </c>
      <c r="K49" s="12">
        <f t="shared" si="1"/>
        <v>0.8051689861</v>
      </c>
      <c r="L49" s="7"/>
      <c r="M49" s="7"/>
      <c r="N49" s="13"/>
      <c r="O49" s="7"/>
      <c r="P49" s="7"/>
      <c r="Q49" s="7"/>
      <c r="R49" s="7"/>
      <c r="S49" s="7"/>
      <c r="T49" s="13"/>
    </row>
    <row r="50">
      <c r="A50" s="6" t="s">
        <v>62</v>
      </c>
      <c r="B50" s="2">
        <v>2023.0</v>
      </c>
      <c r="C50" s="7">
        <v>7047.0</v>
      </c>
      <c r="D50" s="7">
        <v>2504.0</v>
      </c>
      <c r="E50" s="7">
        <v>2868.0</v>
      </c>
      <c r="F50" s="7">
        <v>982.0</v>
      </c>
      <c r="G50" s="8">
        <v>724.0</v>
      </c>
      <c r="H50" s="9">
        <v>0.656</v>
      </c>
      <c r="I50" s="10">
        <v>382.0</v>
      </c>
      <c r="J50" s="11">
        <v>4341.0</v>
      </c>
      <c r="K50" s="12">
        <f t="shared" si="1"/>
        <v>0.6160068114</v>
      </c>
      <c r="L50" s="7"/>
      <c r="M50" s="7"/>
      <c r="N50" s="13"/>
      <c r="O50" s="7"/>
      <c r="P50" s="7"/>
      <c r="Q50" s="7"/>
      <c r="R50" s="7"/>
      <c r="S50" s="7"/>
      <c r="T50" s="13"/>
    </row>
    <row r="51">
      <c r="A51" s="6" t="s">
        <v>63</v>
      </c>
      <c r="B51" s="2">
        <v>2023.0</v>
      </c>
      <c r="C51" s="7">
        <v>6297.0</v>
      </c>
      <c r="D51" s="7">
        <v>2867.0</v>
      </c>
      <c r="E51" s="7">
        <v>2412.0</v>
      </c>
      <c r="F51" s="7">
        <v>18.0</v>
      </c>
      <c r="G51" s="8">
        <v>758.0</v>
      </c>
      <c r="H51" s="9">
        <v>0.493</v>
      </c>
      <c r="I51" s="10">
        <v>126.0</v>
      </c>
      <c r="J51" s="11">
        <v>2968.0</v>
      </c>
      <c r="K51" s="12">
        <f t="shared" si="1"/>
        <v>0.4713355566</v>
      </c>
      <c r="L51" s="7"/>
      <c r="M51" s="7"/>
      <c r="N51" s="13"/>
      <c r="O51" s="7"/>
      <c r="P51" s="7"/>
      <c r="Q51" s="7"/>
      <c r="R51" s="7"/>
      <c r="S51" s="7"/>
      <c r="T51" s="13"/>
    </row>
    <row r="52">
      <c r="A52" s="6" t="s">
        <v>64</v>
      </c>
      <c r="B52" s="2">
        <v>2023.0</v>
      </c>
      <c r="C52" s="7">
        <v>7276.0</v>
      </c>
      <c r="D52" s="7">
        <v>2011.0</v>
      </c>
      <c r="E52" s="7">
        <v>3763.0</v>
      </c>
      <c r="F52" s="8"/>
      <c r="G52" s="8">
        <v>1515.0</v>
      </c>
      <c r="H52" s="9">
        <v>0.443</v>
      </c>
      <c r="I52" s="10" t="s">
        <v>13</v>
      </c>
      <c r="J52" s="11">
        <v>3148.0</v>
      </c>
      <c r="K52" s="12">
        <f t="shared" si="1"/>
        <v>0.4326553051</v>
      </c>
      <c r="L52" s="7"/>
      <c r="M52" s="7"/>
      <c r="N52" s="13"/>
      <c r="O52" s="7"/>
      <c r="P52" s="7"/>
      <c r="Q52" s="7"/>
      <c r="R52" s="7"/>
      <c r="S52" s="7"/>
      <c r="T52" s="13"/>
    </row>
    <row r="53">
      <c r="A53" s="6" t="s">
        <v>65</v>
      </c>
      <c r="B53" s="2">
        <v>2023.0</v>
      </c>
      <c r="C53" s="7">
        <v>808.0</v>
      </c>
      <c r="D53" s="7">
        <v>285.0</v>
      </c>
      <c r="E53" s="7">
        <v>273.0</v>
      </c>
      <c r="F53" s="8"/>
      <c r="G53" s="8">
        <v>88.0</v>
      </c>
      <c r="H53" s="9">
        <v>0.676</v>
      </c>
      <c r="I53" s="10">
        <v>469.0</v>
      </c>
      <c r="J53" s="8">
        <v>468.0</v>
      </c>
      <c r="K53" s="12">
        <f t="shared" si="1"/>
        <v>0.5792079208</v>
      </c>
      <c r="L53" s="7"/>
      <c r="M53" s="7"/>
      <c r="N53" s="13"/>
      <c r="O53" s="7"/>
      <c r="P53" s="7"/>
      <c r="Q53" s="7"/>
      <c r="R53" s="7"/>
      <c r="S53" s="7"/>
      <c r="T53" s="13"/>
    </row>
    <row r="54">
      <c r="A54" s="6" t="s">
        <v>11</v>
      </c>
      <c r="B54" s="3">
        <v>2022.0</v>
      </c>
      <c r="C54" s="7">
        <v>2690.0</v>
      </c>
      <c r="D54" s="7">
        <v>861.0</v>
      </c>
      <c r="E54" s="7">
        <v>663.0</v>
      </c>
      <c r="F54" s="7">
        <v>333.0</v>
      </c>
      <c r="G54" s="7">
        <v>286.0</v>
      </c>
      <c r="H54" s="13">
        <v>0.4948</v>
      </c>
      <c r="I54" s="10">
        <v>12.0</v>
      </c>
      <c r="K54" s="12">
        <f t="shared" si="1"/>
        <v>0</v>
      </c>
    </row>
    <row r="55">
      <c r="A55" s="6" t="s">
        <v>12</v>
      </c>
      <c r="B55" s="3">
        <v>2022.0</v>
      </c>
      <c r="C55" s="7">
        <v>5260.0</v>
      </c>
      <c r="D55" s="7">
        <v>3371.0</v>
      </c>
      <c r="E55" s="7">
        <v>883.0</v>
      </c>
      <c r="F55" s="7">
        <v>520.0</v>
      </c>
      <c r="G55" s="7">
        <v>765.0</v>
      </c>
      <c r="H55" s="13">
        <v>0.3789</v>
      </c>
      <c r="I55" s="10" t="s">
        <v>13</v>
      </c>
      <c r="K55" s="12">
        <f t="shared" si="1"/>
        <v>0</v>
      </c>
    </row>
    <row r="56">
      <c r="A56" s="6" t="s">
        <v>14</v>
      </c>
      <c r="B56" s="3">
        <v>2022.0</v>
      </c>
      <c r="C56" s="7">
        <v>3952.0</v>
      </c>
      <c r="D56" s="7">
        <v>1846.0</v>
      </c>
      <c r="E56" s="7">
        <v>1106.0</v>
      </c>
      <c r="F56" s="7">
        <v>623.0</v>
      </c>
      <c r="G56" s="7">
        <v>840.0</v>
      </c>
      <c r="H56" s="13">
        <v>0.4386</v>
      </c>
      <c r="I56" s="14">
        <v>1256.0</v>
      </c>
      <c r="K56" s="12">
        <f t="shared" si="1"/>
        <v>0</v>
      </c>
    </row>
    <row r="57">
      <c r="A57" s="6" t="s">
        <v>15</v>
      </c>
      <c r="B57" s="3">
        <v>2022.0</v>
      </c>
      <c r="C57" s="7">
        <v>12202.0</v>
      </c>
      <c r="D57" s="7">
        <v>2181.0</v>
      </c>
      <c r="E57" s="7">
        <v>6026.0</v>
      </c>
      <c r="F57" s="7">
        <v>2090.0</v>
      </c>
      <c r="G57" s="7">
        <v>2614.0</v>
      </c>
      <c r="H57" s="13">
        <v>0.4774</v>
      </c>
      <c r="I57" s="10">
        <v>952.0</v>
      </c>
      <c r="K57" s="12">
        <f t="shared" si="1"/>
        <v>0</v>
      </c>
    </row>
    <row r="58">
      <c r="A58" s="6" t="s">
        <v>16</v>
      </c>
      <c r="B58" s="3">
        <v>2022.0</v>
      </c>
      <c r="C58" s="7">
        <v>45924.0</v>
      </c>
      <c r="D58" s="7">
        <v>22037.0</v>
      </c>
      <c r="E58" s="7">
        <v>15945.0</v>
      </c>
      <c r="F58" s="7">
        <v>8400.0</v>
      </c>
      <c r="G58" s="7">
        <v>5668.0</v>
      </c>
      <c r="H58" s="13">
        <v>0.4963</v>
      </c>
      <c r="I58" s="14">
        <v>26580.0</v>
      </c>
      <c r="K58" s="12">
        <f t="shared" si="1"/>
        <v>0</v>
      </c>
    </row>
    <row r="59">
      <c r="A59" s="6" t="s">
        <v>17</v>
      </c>
      <c r="B59" s="3">
        <v>2022.0</v>
      </c>
      <c r="C59" s="7">
        <v>4133.0</v>
      </c>
      <c r="D59" s="7">
        <v>2066.0</v>
      </c>
      <c r="E59" s="7">
        <v>1158.0</v>
      </c>
      <c r="F59" s="7">
        <v>594.0</v>
      </c>
      <c r="G59" s="7">
        <v>583.0</v>
      </c>
      <c r="H59" s="13">
        <v>0.3329</v>
      </c>
      <c r="I59" s="10">
        <v>767.0</v>
      </c>
      <c r="K59" s="12">
        <f t="shared" si="1"/>
        <v>0</v>
      </c>
    </row>
    <row r="60">
      <c r="A60" s="6" t="s">
        <v>18</v>
      </c>
      <c r="B60" s="3">
        <v>2022.0</v>
      </c>
      <c r="C60" s="7">
        <v>3295.0</v>
      </c>
      <c r="D60" s="7">
        <v>1379.0</v>
      </c>
      <c r="E60" s="7">
        <v>1143.0</v>
      </c>
      <c r="F60" s="7">
        <v>547.0</v>
      </c>
      <c r="G60" s="7">
        <v>485.0</v>
      </c>
      <c r="H60" s="13">
        <v>0.3088</v>
      </c>
      <c r="I60" s="10">
        <v>115.0</v>
      </c>
      <c r="K60" s="12">
        <f t="shared" si="1"/>
        <v>0</v>
      </c>
    </row>
    <row r="61">
      <c r="A61" s="6" t="s">
        <v>19</v>
      </c>
      <c r="B61" s="3">
        <v>2022.0</v>
      </c>
      <c r="C61" s="7">
        <v>427.0</v>
      </c>
      <c r="D61" s="7">
        <v>211.0</v>
      </c>
      <c r="E61" s="7">
        <v>96.0</v>
      </c>
      <c r="F61" s="7">
        <v>44.0</v>
      </c>
      <c r="G61" s="7">
        <v>96.0</v>
      </c>
      <c r="H61" s="13">
        <v>0.3385</v>
      </c>
      <c r="I61" s="10">
        <v>12.0</v>
      </c>
      <c r="K61" s="12">
        <f t="shared" si="1"/>
        <v>0</v>
      </c>
    </row>
    <row r="62">
      <c r="A62" s="6" t="s">
        <v>20</v>
      </c>
      <c r="B62" s="3">
        <v>2022.0</v>
      </c>
      <c r="C62" s="7">
        <v>548.0</v>
      </c>
      <c r="D62" s="7">
        <v>342.0</v>
      </c>
      <c r="E62" s="7">
        <v>77.0</v>
      </c>
      <c r="F62" s="7">
        <v>6020.0</v>
      </c>
      <c r="G62" s="7">
        <v>53.0</v>
      </c>
      <c r="H62" s="13">
        <v>0.3984</v>
      </c>
      <c r="I62" s="10">
        <v>52.0</v>
      </c>
      <c r="K62" s="12">
        <f t="shared" si="1"/>
        <v>0</v>
      </c>
    </row>
    <row r="63">
      <c r="A63" s="6" t="s">
        <v>21</v>
      </c>
      <c r="B63" s="3">
        <v>2022.0</v>
      </c>
      <c r="C63" s="7">
        <v>22493.0</v>
      </c>
      <c r="D63" s="7">
        <v>9996.0</v>
      </c>
      <c r="E63" s="7">
        <v>9077.0</v>
      </c>
      <c r="F63" s="7">
        <v>1812.0</v>
      </c>
      <c r="G63" s="7">
        <v>3858.0</v>
      </c>
      <c r="H63" s="13">
        <v>0.425</v>
      </c>
      <c r="I63" s="10" t="s">
        <v>13</v>
      </c>
      <c r="K63" s="12">
        <f t="shared" si="1"/>
        <v>0</v>
      </c>
    </row>
    <row r="64">
      <c r="A64" s="6" t="s">
        <v>22</v>
      </c>
      <c r="B64" s="3">
        <v>2022.0</v>
      </c>
      <c r="C64" s="7">
        <v>10838.0</v>
      </c>
      <c r="D64" s="7">
        <v>6882.0</v>
      </c>
      <c r="E64" s="7">
        <v>2279.0</v>
      </c>
      <c r="F64" s="7">
        <v>248.0</v>
      </c>
      <c r="G64" s="7">
        <v>1201.0</v>
      </c>
      <c r="H64" s="13">
        <v>0.3939</v>
      </c>
      <c r="I64" s="14">
        <v>3855.0</v>
      </c>
      <c r="K64" s="12">
        <f t="shared" si="1"/>
        <v>0</v>
      </c>
    </row>
    <row r="65">
      <c r="A65" s="6" t="s">
        <v>23</v>
      </c>
      <c r="B65" s="3">
        <v>2022.0</v>
      </c>
      <c r="C65" s="7">
        <v>1341.0</v>
      </c>
      <c r="D65" s="7">
        <v>542.0</v>
      </c>
      <c r="E65" s="7">
        <v>605.0</v>
      </c>
      <c r="F65" s="7">
        <v>775.0</v>
      </c>
      <c r="G65" s="7">
        <v>158.0</v>
      </c>
      <c r="H65" s="13">
        <v>0.531</v>
      </c>
      <c r="I65" s="10">
        <v>83.0</v>
      </c>
      <c r="K65" s="12">
        <f t="shared" si="1"/>
        <v>0</v>
      </c>
    </row>
    <row r="66">
      <c r="A66" s="6" t="s">
        <v>24</v>
      </c>
      <c r="B66" s="3">
        <v>2022.0</v>
      </c>
      <c r="C66" s="7">
        <v>4048.0</v>
      </c>
      <c r="D66" s="7">
        <v>1574.0</v>
      </c>
      <c r="E66" s="7">
        <v>1687.0</v>
      </c>
      <c r="F66" s="7">
        <v>171.0</v>
      </c>
      <c r="G66" s="7">
        <v>945.0</v>
      </c>
      <c r="H66" s="13">
        <v>0.4587</v>
      </c>
      <c r="I66" s="10">
        <v>303.0</v>
      </c>
      <c r="K66" s="12">
        <f t="shared" si="1"/>
        <v>0</v>
      </c>
    </row>
    <row r="67">
      <c r="A67" s="6" t="s">
        <v>25</v>
      </c>
      <c r="B67" s="3">
        <v>2022.0</v>
      </c>
      <c r="C67" s="7">
        <v>1548.0</v>
      </c>
      <c r="D67" s="7">
        <v>609.0</v>
      </c>
      <c r="E67" s="7">
        <v>513.0</v>
      </c>
      <c r="F67" s="7">
        <v>2954.0</v>
      </c>
      <c r="G67" s="7">
        <v>276.0</v>
      </c>
      <c r="H67" s="13">
        <v>0.572</v>
      </c>
      <c r="I67" s="10" t="s">
        <v>13</v>
      </c>
      <c r="K67" s="12">
        <f t="shared" si="1"/>
        <v>0</v>
      </c>
    </row>
    <row r="68">
      <c r="A68" s="6" t="s">
        <v>26</v>
      </c>
      <c r="B68" s="3">
        <v>2022.0</v>
      </c>
      <c r="C68" s="7">
        <v>20743.0</v>
      </c>
      <c r="D68" s="7">
        <v>7670.0</v>
      </c>
      <c r="E68" s="7">
        <v>8925.0</v>
      </c>
      <c r="F68" s="7">
        <v>1502.0</v>
      </c>
      <c r="G68" s="7">
        <v>1706.0</v>
      </c>
      <c r="H68" s="13">
        <v>0.5119</v>
      </c>
      <c r="I68" s="14">
        <v>5903.0</v>
      </c>
      <c r="K68" s="12">
        <f t="shared" si="1"/>
        <v>0</v>
      </c>
    </row>
    <row r="69">
      <c r="A69" s="6" t="s">
        <v>27</v>
      </c>
      <c r="B69" s="3">
        <v>2022.0</v>
      </c>
      <c r="C69" s="7">
        <v>11457.0</v>
      </c>
      <c r="D69" s="7">
        <v>3843.0</v>
      </c>
      <c r="E69" s="7">
        <v>4145.0</v>
      </c>
      <c r="F69" s="7">
        <v>1740.0</v>
      </c>
      <c r="G69" s="7">
        <v>1884.0</v>
      </c>
      <c r="H69" s="13">
        <v>0.5424</v>
      </c>
      <c r="I69" s="10" t="s">
        <v>13</v>
      </c>
      <c r="K69" s="12">
        <f t="shared" si="1"/>
        <v>0</v>
      </c>
    </row>
    <row r="70">
      <c r="A70" s="6" t="s">
        <v>28</v>
      </c>
      <c r="B70" s="3">
        <v>2022.0</v>
      </c>
      <c r="C70" s="7">
        <v>6808.0</v>
      </c>
      <c r="D70" s="7">
        <v>3021.0</v>
      </c>
      <c r="E70" s="7">
        <v>2294.0</v>
      </c>
      <c r="F70" s="7">
        <v>2394.0</v>
      </c>
      <c r="G70" s="7">
        <v>960.0</v>
      </c>
      <c r="H70" s="13">
        <v>0.5158</v>
      </c>
      <c r="I70" s="10">
        <v>75.0</v>
      </c>
      <c r="K70" s="12">
        <f t="shared" si="1"/>
        <v>0</v>
      </c>
    </row>
    <row r="71">
      <c r="A71" s="6" t="s">
        <v>29</v>
      </c>
      <c r="B71" s="3">
        <v>2022.0</v>
      </c>
      <c r="C71" s="7">
        <v>7905.0</v>
      </c>
      <c r="D71" s="7">
        <v>5177.0</v>
      </c>
      <c r="E71" s="7">
        <v>1123.0</v>
      </c>
      <c r="F71" s="7">
        <v>501.0</v>
      </c>
      <c r="G71" s="7">
        <v>1341.0</v>
      </c>
      <c r="H71" s="13">
        <v>0.3683</v>
      </c>
      <c r="I71" s="14">
        <v>4380.0</v>
      </c>
      <c r="K71" s="12">
        <f t="shared" si="1"/>
        <v>0</v>
      </c>
    </row>
    <row r="72">
      <c r="A72" s="6" t="s">
        <v>30</v>
      </c>
      <c r="B72" s="3">
        <v>2022.0</v>
      </c>
      <c r="C72" s="7">
        <v>3682.0</v>
      </c>
      <c r="D72" s="7">
        <v>1852.0</v>
      </c>
      <c r="E72" s="7">
        <v>1290.0</v>
      </c>
      <c r="F72" s="7">
        <v>1389.0</v>
      </c>
      <c r="G72" s="7">
        <v>700.0</v>
      </c>
      <c r="H72" s="13">
        <v>0.3795</v>
      </c>
      <c r="I72" s="14">
        <v>1816.0</v>
      </c>
      <c r="K72" s="12">
        <f t="shared" si="1"/>
        <v>0</v>
      </c>
    </row>
    <row r="73">
      <c r="A73" s="6" t="s">
        <v>31</v>
      </c>
      <c r="B73" s="3">
        <v>2022.0</v>
      </c>
      <c r="C73" s="7">
        <v>8824.0</v>
      </c>
      <c r="D73" s="7">
        <v>3336.0</v>
      </c>
      <c r="E73" s="7">
        <v>2394.0</v>
      </c>
      <c r="F73" s="7">
        <v>74.0</v>
      </c>
      <c r="G73" s="7">
        <v>799.0</v>
      </c>
      <c r="H73" s="13">
        <v>0.56</v>
      </c>
      <c r="I73" s="10" t="s">
        <v>13</v>
      </c>
      <c r="K73" s="12">
        <f t="shared" si="1"/>
        <v>0</v>
      </c>
    </row>
    <row r="74">
      <c r="A74" s="6" t="s">
        <v>33</v>
      </c>
      <c r="B74" s="3">
        <v>2022.0</v>
      </c>
      <c r="C74" s="7">
        <v>3609.0</v>
      </c>
      <c r="D74" s="7">
        <v>1220.0</v>
      </c>
      <c r="E74" s="7">
        <v>1490.0</v>
      </c>
      <c r="F74" s="7">
        <v>112.0</v>
      </c>
      <c r="G74" s="7">
        <v>242.0</v>
      </c>
      <c r="H74" s="13">
        <v>0.353</v>
      </c>
      <c r="I74" s="10" t="s">
        <v>13</v>
      </c>
      <c r="K74" s="12">
        <f t="shared" si="1"/>
        <v>0</v>
      </c>
    </row>
    <row r="75">
      <c r="A75" s="6" t="s">
        <v>34</v>
      </c>
      <c r="B75" s="3">
        <v>2022.0</v>
      </c>
      <c r="C75" s="7">
        <v>2429.0</v>
      </c>
      <c r="D75" s="7">
        <v>1082.0</v>
      </c>
      <c r="E75" s="7">
        <v>891.0</v>
      </c>
      <c r="F75" s="7">
        <v>3025.0</v>
      </c>
      <c r="G75" s="7">
        <v>361.0</v>
      </c>
      <c r="H75" s="13">
        <v>0.4484</v>
      </c>
      <c r="I75" s="14">
        <v>3097.0</v>
      </c>
      <c r="K75" s="12">
        <f t="shared" si="1"/>
        <v>0</v>
      </c>
    </row>
    <row r="76">
      <c r="A76" s="6" t="s">
        <v>35</v>
      </c>
      <c r="B76" s="3">
        <v>2022.0</v>
      </c>
      <c r="C76" s="7">
        <v>8940.0</v>
      </c>
      <c r="D76" s="7">
        <v>3350.0</v>
      </c>
      <c r="E76" s="7">
        <v>4049.0</v>
      </c>
      <c r="F76" s="7">
        <v>1490.0</v>
      </c>
      <c r="G76" s="7">
        <v>1667.0</v>
      </c>
      <c r="H76" s="13">
        <v>0.3755</v>
      </c>
      <c r="I76" s="14">
        <v>1485.0</v>
      </c>
      <c r="K76" s="12">
        <f t="shared" si="1"/>
        <v>0</v>
      </c>
    </row>
    <row r="77">
      <c r="A77" s="6" t="s">
        <v>36</v>
      </c>
      <c r="B77" s="3">
        <v>2022.0</v>
      </c>
      <c r="C77" s="7">
        <v>6133.0</v>
      </c>
      <c r="D77" s="7">
        <v>1395.0</v>
      </c>
      <c r="E77" s="7">
        <v>2392.0</v>
      </c>
      <c r="F77" s="7">
        <v>822.0</v>
      </c>
      <c r="G77" s="7">
        <v>1101.0</v>
      </c>
      <c r="H77" s="13">
        <v>0.5096</v>
      </c>
      <c r="I77" s="10">
        <v>99.0</v>
      </c>
      <c r="K77" s="12">
        <f t="shared" si="1"/>
        <v>0</v>
      </c>
    </row>
    <row r="78">
      <c r="A78" s="6" t="s">
        <v>37</v>
      </c>
      <c r="B78" s="3">
        <v>2022.0</v>
      </c>
      <c r="C78" s="7">
        <v>12514.0</v>
      </c>
      <c r="D78" s="7">
        <v>3669.0</v>
      </c>
      <c r="E78" s="7">
        <v>5036.0</v>
      </c>
      <c r="F78" s="7">
        <v>583.0</v>
      </c>
      <c r="G78" s="7">
        <v>1404.0</v>
      </c>
      <c r="H78" s="13">
        <v>0.4483</v>
      </c>
      <c r="I78" s="10" t="s">
        <v>32</v>
      </c>
      <c r="K78" s="12">
        <f t="shared" si="1"/>
        <v>0</v>
      </c>
    </row>
    <row r="79">
      <c r="A79" s="6" t="s">
        <v>38</v>
      </c>
      <c r="B79" s="3">
        <v>2022.0</v>
      </c>
      <c r="C79" s="7">
        <v>3825.0</v>
      </c>
      <c r="D79" s="7">
        <v>1691.0</v>
      </c>
      <c r="E79" s="7">
        <v>1270.0</v>
      </c>
      <c r="F79" s="7">
        <v>345.0</v>
      </c>
      <c r="G79" s="7">
        <v>588.0</v>
      </c>
      <c r="H79" s="13">
        <v>0.4412</v>
      </c>
      <c r="I79" s="10">
        <v>150.0</v>
      </c>
      <c r="K79" s="12">
        <f t="shared" si="1"/>
        <v>0</v>
      </c>
    </row>
    <row r="80">
      <c r="A80" s="6" t="s">
        <v>39</v>
      </c>
      <c r="B80" s="3">
        <v>2022.0</v>
      </c>
      <c r="C80" s="7">
        <v>2672.0</v>
      </c>
      <c r="D80" s="7">
        <v>956.0</v>
      </c>
      <c r="E80" s="7">
        <v>1071.0</v>
      </c>
      <c r="F80" s="7">
        <v>1170.0</v>
      </c>
      <c r="G80" s="7">
        <v>359.0</v>
      </c>
      <c r="H80" s="13">
        <v>0.5204</v>
      </c>
      <c r="I80" s="10">
        <v>189.0</v>
      </c>
      <c r="K80" s="12">
        <f t="shared" si="1"/>
        <v>0</v>
      </c>
    </row>
    <row r="81">
      <c r="A81" s="6" t="s">
        <v>40</v>
      </c>
      <c r="B81" s="3">
        <v>2022.0</v>
      </c>
      <c r="C81" s="7">
        <v>11258.0</v>
      </c>
      <c r="D81" s="7">
        <v>6094.0</v>
      </c>
      <c r="E81" s="7">
        <v>2586.0</v>
      </c>
      <c r="F81" s="7">
        <v>347.0</v>
      </c>
      <c r="G81" s="7">
        <v>1097.0</v>
      </c>
      <c r="H81" s="13">
        <v>0.4028</v>
      </c>
      <c r="I81" s="10">
        <v>339.0</v>
      </c>
      <c r="K81" s="12">
        <f t="shared" si="1"/>
        <v>0</v>
      </c>
    </row>
    <row r="82">
      <c r="A82" s="6" t="s">
        <v>41</v>
      </c>
      <c r="B82" s="3">
        <v>2022.0</v>
      </c>
      <c r="C82" s="7">
        <v>1547.0</v>
      </c>
      <c r="D82" s="7">
        <v>913.0</v>
      </c>
      <c r="E82" s="7">
        <v>413.0</v>
      </c>
      <c r="F82" s="7">
        <v>500.0</v>
      </c>
      <c r="G82" s="7">
        <v>207.0</v>
      </c>
      <c r="H82" s="13">
        <v>0.4881</v>
      </c>
      <c r="I82" s="14">
        <v>1100.0</v>
      </c>
      <c r="K82" s="12">
        <f t="shared" si="1"/>
        <v>0</v>
      </c>
    </row>
    <row r="83">
      <c r="A83" s="6" t="s">
        <v>42</v>
      </c>
      <c r="B83" s="3">
        <v>2022.0</v>
      </c>
      <c r="C83" s="7">
        <v>3873.0</v>
      </c>
      <c r="D83" s="7">
        <v>1658.0</v>
      </c>
      <c r="E83" s="7">
        <v>1370.0</v>
      </c>
      <c r="F83" s="7">
        <v>64.0</v>
      </c>
      <c r="G83" s="7">
        <v>394.0</v>
      </c>
      <c r="H83" s="13">
        <v>0.5907</v>
      </c>
      <c r="I83" s="10">
        <v>80.0</v>
      </c>
      <c r="K83" s="12">
        <f t="shared" si="1"/>
        <v>0</v>
      </c>
    </row>
    <row r="84">
      <c r="A84" s="6" t="s">
        <v>43</v>
      </c>
      <c r="B84" s="3">
        <v>2022.0</v>
      </c>
      <c r="C84" s="7">
        <v>1181.0</v>
      </c>
      <c r="D84" s="7">
        <v>438.0</v>
      </c>
      <c r="E84" s="7">
        <v>384.0</v>
      </c>
      <c r="F84" s="7">
        <v>468.0</v>
      </c>
      <c r="G84" s="7">
        <v>213.0</v>
      </c>
      <c r="H84" s="13">
        <v>0.5033</v>
      </c>
      <c r="I84" s="10">
        <v>753.0</v>
      </c>
      <c r="K84" s="12">
        <f t="shared" si="1"/>
        <v>0</v>
      </c>
    </row>
    <row r="85">
      <c r="A85" s="6" t="s">
        <v>44</v>
      </c>
      <c r="B85" s="3">
        <v>2022.0</v>
      </c>
      <c r="C85" s="7">
        <v>2786.0</v>
      </c>
      <c r="D85" s="7">
        <v>1447.0</v>
      </c>
      <c r="E85" s="7">
        <v>1110.0</v>
      </c>
      <c r="F85" s="7">
        <v>474.0</v>
      </c>
      <c r="G85" s="7">
        <v>588.0</v>
      </c>
      <c r="H85" s="13">
        <v>0.4051</v>
      </c>
      <c r="I85" s="10">
        <v>155.0</v>
      </c>
      <c r="K85" s="12">
        <f t="shared" si="1"/>
        <v>0</v>
      </c>
    </row>
    <row r="86">
      <c r="A86" s="6" t="s">
        <v>45</v>
      </c>
      <c r="B86" s="3">
        <v>2022.0</v>
      </c>
      <c r="C86" s="7">
        <v>1800.0</v>
      </c>
      <c r="D86" s="7">
        <v>858.0</v>
      </c>
      <c r="E86" s="7">
        <v>634.0</v>
      </c>
      <c r="F86" s="7">
        <v>730.0</v>
      </c>
      <c r="G86" s="7">
        <v>228.0</v>
      </c>
      <c r="H86" s="13">
        <v>0.5316</v>
      </c>
      <c r="I86" s="10" t="s">
        <v>13</v>
      </c>
      <c r="K86" s="12">
        <f t="shared" si="1"/>
        <v>0</v>
      </c>
    </row>
    <row r="87">
      <c r="A87" s="6" t="s">
        <v>46</v>
      </c>
      <c r="B87" s="3">
        <v>2022.0</v>
      </c>
      <c r="C87" s="7">
        <v>4047.0</v>
      </c>
      <c r="D87" s="7">
        <v>1648.0</v>
      </c>
      <c r="E87" s="7">
        <v>1717.0</v>
      </c>
      <c r="F87" s="7">
        <v>1647.0</v>
      </c>
      <c r="G87" s="7">
        <v>737.0</v>
      </c>
      <c r="H87" s="13">
        <v>0.5526</v>
      </c>
      <c r="I87" s="10">
        <v>181.0</v>
      </c>
      <c r="K87" s="12">
        <f t="shared" si="1"/>
        <v>0</v>
      </c>
    </row>
    <row r="88">
      <c r="A88" s="6" t="s">
        <v>47</v>
      </c>
      <c r="B88" s="3">
        <v>2022.0</v>
      </c>
      <c r="C88" s="7">
        <v>14134.0</v>
      </c>
      <c r="D88" s="7">
        <v>5908.0</v>
      </c>
      <c r="E88" s="7">
        <v>4710.0</v>
      </c>
      <c r="F88" s="7">
        <v>3496.0</v>
      </c>
      <c r="G88" s="7">
        <v>1248.0</v>
      </c>
      <c r="H88" s="13">
        <v>0.3907</v>
      </c>
      <c r="I88" s="10">
        <v>91.0</v>
      </c>
      <c r="K88" s="12">
        <f t="shared" si="1"/>
        <v>0</v>
      </c>
    </row>
    <row r="89">
      <c r="A89" s="6" t="s">
        <v>48</v>
      </c>
      <c r="B89" s="3">
        <v>2022.0</v>
      </c>
      <c r="C89" s="7">
        <v>14946.0</v>
      </c>
      <c r="D89" s="7">
        <v>8355.0</v>
      </c>
      <c r="E89" s="7">
        <v>3173.0</v>
      </c>
      <c r="F89" s="7">
        <v>1683.0</v>
      </c>
      <c r="G89" s="7">
        <v>1508.0</v>
      </c>
      <c r="H89" s="13">
        <v>0.3954</v>
      </c>
      <c r="I89" s="10">
        <v>113.0</v>
      </c>
      <c r="K89" s="12">
        <f t="shared" si="1"/>
        <v>0</v>
      </c>
    </row>
    <row r="90">
      <c r="A90" s="6" t="s">
        <v>49</v>
      </c>
      <c r="B90" s="3">
        <v>2022.0</v>
      </c>
      <c r="C90" s="7">
        <v>7013.0</v>
      </c>
      <c r="D90" s="7">
        <v>3391.0</v>
      </c>
      <c r="E90" s="7">
        <v>2199.0</v>
      </c>
      <c r="F90" s="7">
        <v>717.0</v>
      </c>
      <c r="G90" s="7">
        <v>1547.0</v>
      </c>
      <c r="H90" s="13">
        <v>0.4113</v>
      </c>
      <c r="I90" s="10">
        <v>475.0</v>
      </c>
      <c r="K90" s="12">
        <f t="shared" si="1"/>
        <v>0</v>
      </c>
    </row>
    <row r="91">
      <c r="A91" s="6" t="s">
        <v>50</v>
      </c>
      <c r="B91" s="3">
        <v>2022.0</v>
      </c>
      <c r="C91" s="7">
        <v>4826.0</v>
      </c>
      <c r="D91" s="7">
        <v>1854.0</v>
      </c>
      <c r="E91" s="7">
        <v>1665.0</v>
      </c>
      <c r="F91" s="7">
        <v>1856.0</v>
      </c>
      <c r="G91" s="7">
        <v>569.0</v>
      </c>
      <c r="H91" s="13">
        <v>0.4849</v>
      </c>
      <c r="I91" s="10" t="s">
        <v>32</v>
      </c>
      <c r="K91" s="12">
        <f t="shared" si="1"/>
        <v>0</v>
      </c>
    </row>
    <row r="92">
      <c r="A92" s="6" t="s">
        <v>51</v>
      </c>
      <c r="B92" s="3">
        <v>2022.0</v>
      </c>
      <c r="C92" s="7">
        <v>12448.0</v>
      </c>
      <c r="D92" s="7">
        <v>5095.0</v>
      </c>
      <c r="E92" s="7">
        <v>5123.0</v>
      </c>
      <c r="F92" s="7">
        <v>44.0</v>
      </c>
      <c r="G92" s="7">
        <v>2172.0</v>
      </c>
      <c r="H92" s="13">
        <v>0.4191</v>
      </c>
      <c r="I92" s="10">
        <v>41.0</v>
      </c>
      <c r="K92" s="12">
        <f t="shared" si="1"/>
        <v>0</v>
      </c>
    </row>
    <row r="93">
      <c r="A93" s="6" t="s">
        <v>52</v>
      </c>
      <c r="B93" s="3">
        <v>2022.0</v>
      </c>
      <c r="C93" s="7">
        <v>2136.0</v>
      </c>
      <c r="D93" s="7">
        <v>616.0</v>
      </c>
      <c r="E93" s="7">
        <v>512.0</v>
      </c>
      <c r="F93" s="7">
        <v>97.0</v>
      </c>
      <c r="G93" s="7">
        <v>63.0</v>
      </c>
      <c r="H93" s="13">
        <v>0.4901</v>
      </c>
      <c r="I93" s="14">
        <v>1724.0</v>
      </c>
      <c r="K93" s="12">
        <f t="shared" si="1"/>
        <v>0</v>
      </c>
    </row>
    <row r="94">
      <c r="A94" s="6" t="s">
        <v>54</v>
      </c>
      <c r="B94" s="3">
        <v>2022.0</v>
      </c>
      <c r="C94" s="7">
        <v>1723.0</v>
      </c>
      <c r="D94" s="7">
        <v>452.0</v>
      </c>
      <c r="E94" s="7">
        <v>619.0</v>
      </c>
      <c r="F94" s="7">
        <v>757.0</v>
      </c>
      <c r="G94" s="7">
        <v>238.0</v>
      </c>
      <c r="H94" s="13">
        <v>0.4316</v>
      </c>
      <c r="I94" s="10" t="s">
        <v>13</v>
      </c>
      <c r="K94" s="12">
        <f t="shared" si="1"/>
        <v>0</v>
      </c>
    </row>
    <row r="95">
      <c r="A95" s="6" t="s">
        <v>55</v>
      </c>
      <c r="B95" s="3">
        <v>2022.0</v>
      </c>
      <c r="C95" s="7">
        <v>3793.0</v>
      </c>
      <c r="D95" s="7">
        <v>2223.0</v>
      </c>
      <c r="E95" s="7">
        <v>742.0</v>
      </c>
      <c r="F95" s="7">
        <v>440.0</v>
      </c>
      <c r="G95" s="7">
        <v>508.0</v>
      </c>
      <c r="H95" s="13">
        <v>0.4867</v>
      </c>
      <c r="I95" s="10">
        <v>540.0</v>
      </c>
      <c r="K95" s="12">
        <f t="shared" si="1"/>
        <v>0</v>
      </c>
    </row>
    <row r="96">
      <c r="A96" s="6" t="s">
        <v>56</v>
      </c>
      <c r="B96" s="3">
        <v>2022.0</v>
      </c>
      <c r="C96" s="7">
        <v>1615.0</v>
      </c>
      <c r="D96" s="7">
        <v>788.0</v>
      </c>
      <c r="E96" s="7">
        <v>396.0</v>
      </c>
      <c r="F96" s="7">
        <v>1216.0</v>
      </c>
      <c r="G96" s="7">
        <v>247.0</v>
      </c>
      <c r="H96" s="13">
        <v>0.4808</v>
      </c>
      <c r="I96" s="10" t="s">
        <v>13</v>
      </c>
      <c r="K96" s="12">
        <f t="shared" si="1"/>
        <v>0</v>
      </c>
    </row>
    <row r="97">
      <c r="A97" s="6" t="s">
        <v>57</v>
      </c>
      <c r="B97" s="3">
        <v>2022.0</v>
      </c>
      <c r="C97" s="7">
        <v>9053.0</v>
      </c>
      <c r="D97" s="7">
        <v>5223.0</v>
      </c>
      <c r="E97" s="7">
        <v>156.0</v>
      </c>
      <c r="F97" s="7">
        <v>7550.0</v>
      </c>
      <c r="G97" s="7">
        <v>1150.0</v>
      </c>
      <c r="H97" s="13">
        <v>0.4308</v>
      </c>
      <c r="I97" s="10" t="s">
        <v>13</v>
      </c>
      <c r="K97" s="12">
        <f t="shared" si="1"/>
        <v>0</v>
      </c>
    </row>
    <row r="98">
      <c r="A98" s="6" t="s">
        <v>58</v>
      </c>
      <c r="B98" s="3">
        <v>2022.0</v>
      </c>
      <c r="C98" s="7">
        <v>21358.0</v>
      </c>
      <c r="D98" s="7">
        <v>10106.0</v>
      </c>
      <c r="E98" s="7">
        <v>6611.0</v>
      </c>
      <c r="F98" s="7">
        <v>272.0</v>
      </c>
      <c r="G98" s="7">
        <v>4436.0</v>
      </c>
      <c r="H98" s="13">
        <v>0.4036</v>
      </c>
      <c r="I98" s="14">
        <v>10598.0</v>
      </c>
      <c r="K98" s="12">
        <f t="shared" si="1"/>
        <v>0</v>
      </c>
    </row>
    <row r="99">
      <c r="A99" s="6" t="s">
        <v>59</v>
      </c>
      <c r="B99" s="3">
        <v>2022.0</v>
      </c>
      <c r="C99" s="7">
        <v>2067.0</v>
      </c>
      <c r="D99" s="7">
        <v>889.0</v>
      </c>
      <c r="E99" s="7">
        <v>698.0</v>
      </c>
      <c r="F99" s="7">
        <v>1361.0</v>
      </c>
      <c r="G99" s="7">
        <v>527.0</v>
      </c>
      <c r="H99" s="13">
        <v>0.4044</v>
      </c>
      <c r="I99" s="14">
        <v>1219.0</v>
      </c>
      <c r="K99" s="12">
        <f t="shared" si="1"/>
        <v>0</v>
      </c>
    </row>
    <row r="100">
      <c r="A100" s="6" t="s">
        <v>60</v>
      </c>
      <c r="B100" s="3">
        <v>2022.0</v>
      </c>
      <c r="C100" s="7">
        <v>5039.0</v>
      </c>
      <c r="D100" s="7">
        <v>3055.0</v>
      </c>
      <c r="E100" s="7">
        <v>466.0</v>
      </c>
      <c r="F100" s="7">
        <v>164.0</v>
      </c>
      <c r="G100" s="7">
        <v>774.0</v>
      </c>
      <c r="H100" s="13">
        <v>0.267</v>
      </c>
      <c r="I100" s="10" t="s">
        <v>13</v>
      </c>
      <c r="K100" s="12">
        <f t="shared" si="1"/>
        <v>0</v>
      </c>
    </row>
    <row r="101">
      <c r="A101" s="6" t="s">
        <v>61</v>
      </c>
      <c r="B101" s="3">
        <v>2022.0</v>
      </c>
      <c r="C101" s="7">
        <v>1096.0</v>
      </c>
      <c r="D101" s="7">
        <v>491.0</v>
      </c>
      <c r="E101" s="7">
        <v>357.0</v>
      </c>
      <c r="F101" s="7">
        <v>1196.0</v>
      </c>
      <c r="G101" s="7">
        <v>167.0</v>
      </c>
      <c r="H101" s="13">
        <v>0.4921</v>
      </c>
      <c r="I101" s="10" t="s">
        <v>13</v>
      </c>
      <c r="K101" s="12">
        <f t="shared" si="1"/>
        <v>0</v>
      </c>
    </row>
    <row r="102">
      <c r="A102" s="6" t="s">
        <v>62</v>
      </c>
      <c r="B102" s="3">
        <v>2022.0</v>
      </c>
      <c r="C102" s="7">
        <v>8049.0</v>
      </c>
      <c r="D102" s="7">
        <v>2822.0</v>
      </c>
      <c r="E102" s="7">
        <v>3268.0</v>
      </c>
      <c r="F102" s="7">
        <v>668.0</v>
      </c>
      <c r="G102" s="7">
        <v>875.0</v>
      </c>
      <c r="H102" s="13">
        <v>0.6705</v>
      </c>
      <c r="I102" s="10">
        <v>281.0</v>
      </c>
      <c r="K102" s="12">
        <f t="shared" si="1"/>
        <v>0</v>
      </c>
    </row>
    <row r="103">
      <c r="A103" s="6" t="s">
        <v>63</v>
      </c>
      <c r="B103" s="3">
        <v>2022.0</v>
      </c>
      <c r="C103" s="7">
        <v>6622.0</v>
      </c>
      <c r="D103" s="7">
        <v>3028.0</v>
      </c>
      <c r="E103" s="7">
        <v>2608.0</v>
      </c>
      <c r="F103" s="7">
        <v>1777.0</v>
      </c>
      <c r="G103" s="7">
        <v>669.0</v>
      </c>
      <c r="H103" s="13">
        <v>0.5053</v>
      </c>
      <c r="I103" s="10">
        <v>477.0</v>
      </c>
      <c r="K103" s="12">
        <f t="shared" si="1"/>
        <v>0</v>
      </c>
    </row>
    <row r="104">
      <c r="A104" s="6" t="s">
        <v>64</v>
      </c>
      <c r="B104" s="3">
        <v>2022.0</v>
      </c>
      <c r="C104" s="7">
        <v>6952.0</v>
      </c>
      <c r="D104" s="7">
        <v>1939.0</v>
      </c>
      <c r="E104" s="7">
        <v>3698.0</v>
      </c>
      <c r="F104" s="7">
        <v>11.0</v>
      </c>
      <c r="G104" s="7">
        <v>1782.0</v>
      </c>
      <c r="H104" s="13">
        <v>0.4706</v>
      </c>
      <c r="I104" s="10" t="s">
        <v>13</v>
      </c>
      <c r="K104" s="12">
        <f t="shared" si="1"/>
        <v>0</v>
      </c>
    </row>
    <row r="105">
      <c r="A105" s="6" t="s">
        <v>65</v>
      </c>
      <c r="B105" s="3">
        <v>2022.0</v>
      </c>
      <c r="C105" s="7">
        <v>756.0</v>
      </c>
      <c r="D105" s="7">
        <v>249.0</v>
      </c>
      <c r="E105" s="7">
        <v>297.0</v>
      </c>
      <c r="F105" s="7">
        <v>107.0</v>
      </c>
      <c r="G105" s="7">
        <v>108.0</v>
      </c>
      <c r="H105" s="13">
        <v>0.6476</v>
      </c>
      <c r="I105" s="10">
        <v>483.0</v>
      </c>
      <c r="K105" s="12">
        <f t="shared" si="1"/>
        <v>0</v>
      </c>
    </row>
    <row r="106">
      <c r="A106" s="6" t="s">
        <v>11</v>
      </c>
      <c r="B106" s="3">
        <v>2021.0</v>
      </c>
      <c r="C106" s="7">
        <v>2899.0</v>
      </c>
      <c r="D106" s="7">
        <v>883.0</v>
      </c>
      <c r="E106" s="7">
        <v>750.0</v>
      </c>
      <c r="F106" s="7">
        <v>334.0</v>
      </c>
      <c r="G106" s="7">
        <v>316.0</v>
      </c>
      <c r="H106" s="13">
        <v>0.4947</v>
      </c>
      <c r="I106" s="10">
        <v>10.0</v>
      </c>
      <c r="J106" s="11">
        <v>1205.0</v>
      </c>
      <c r="K106" s="12">
        <f t="shared" si="1"/>
        <v>0.4156605726</v>
      </c>
    </row>
    <row r="107">
      <c r="A107" s="6" t="s">
        <v>12</v>
      </c>
      <c r="B107" s="3">
        <v>2021.0</v>
      </c>
      <c r="C107" s="7">
        <v>5400.0</v>
      </c>
      <c r="D107" s="7">
        <v>3422.0</v>
      </c>
      <c r="E107" s="7">
        <v>805.0</v>
      </c>
      <c r="F107" s="7">
        <v>539.0</v>
      </c>
      <c r="G107" s="7">
        <v>784.0</v>
      </c>
      <c r="H107" s="13">
        <v>0.3607</v>
      </c>
      <c r="I107" s="10" t="s">
        <v>13</v>
      </c>
      <c r="J107" s="11">
        <v>2039.0</v>
      </c>
      <c r="K107" s="12">
        <f t="shared" si="1"/>
        <v>0.3775925926</v>
      </c>
    </row>
    <row r="108">
      <c r="A108" s="6" t="s">
        <v>14</v>
      </c>
      <c r="B108" s="3">
        <v>2021.0</v>
      </c>
      <c r="C108" s="7">
        <v>4507.0</v>
      </c>
      <c r="D108" s="7">
        <v>2041.0</v>
      </c>
      <c r="E108" s="7">
        <v>1437.0</v>
      </c>
      <c r="F108" s="7">
        <v>699.0</v>
      </c>
      <c r="G108" s="7">
        <v>752.0</v>
      </c>
      <c r="H108" s="13">
        <v>0.4278</v>
      </c>
      <c r="I108" s="14">
        <v>1680.0</v>
      </c>
      <c r="J108" s="11">
        <v>1509.0</v>
      </c>
      <c r="K108" s="12">
        <f t="shared" si="1"/>
        <v>0.3348125139</v>
      </c>
    </row>
    <row r="109">
      <c r="A109" s="6" t="s">
        <v>15</v>
      </c>
      <c r="B109" s="3">
        <v>2021.0</v>
      </c>
      <c r="C109" s="7">
        <v>13892.0</v>
      </c>
      <c r="D109" s="7">
        <v>2832.0</v>
      </c>
      <c r="E109" s="7">
        <v>6845.0</v>
      </c>
      <c r="F109" s="7">
        <v>2566.0</v>
      </c>
      <c r="G109" s="7">
        <v>2512.0</v>
      </c>
      <c r="H109" s="13">
        <v>0.5114</v>
      </c>
      <c r="I109" s="14">
        <v>1029.0</v>
      </c>
      <c r="J109" s="11">
        <v>3509.0</v>
      </c>
      <c r="K109" s="12">
        <f t="shared" si="1"/>
        <v>0.2525914195</v>
      </c>
    </row>
    <row r="110">
      <c r="A110" s="6" t="s">
        <v>16</v>
      </c>
      <c r="B110" s="3">
        <v>2021.0</v>
      </c>
      <c r="C110" s="7">
        <v>48738.0</v>
      </c>
      <c r="D110" s="7">
        <v>22972.0</v>
      </c>
      <c r="E110" s="7">
        <v>17194.0</v>
      </c>
      <c r="F110" s="7">
        <v>7385.0</v>
      </c>
      <c r="G110" s="7">
        <v>5829.0</v>
      </c>
      <c r="H110" s="13">
        <v>0.4955</v>
      </c>
      <c r="I110" s="14">
        <v>15946.0</v>
      </c>
      <c r="J110" s="11">
        <v>32597.0</v>
      </c>
      <c r="K110" s="12">
        <f t="shared" si="1"/>
        <v>0.6688210431</v>
      </c>
    </row>
    <row r="111">
      <c r="A111" s="6" t="s">
        <v>17</v>
      </c>
      <c r="B111" s="3">
        <v>2021.0</v>
      </c>
      <c r="C111" s="7">
        <v>4305.0</v>
      </c>
      <c r="D111" s="7">
        <v>2233.0</v>
      </c>
      <c r="E111" s="7">
        <v>1111.0</v>
      </c>
      <c r="F111" s="7">
        <v>577.0</v>
      </c>
      <c r="G111" s="7">
        <v>605.0</v>
      </c>
      <c r="H111" s="13">
        <v>0.3236</v>
      </c>
      <c r="I111" s="10">
        <v>885.0</v>
      </c>
      <c r="J111" s="11">
        <v>1586.0</v>
      </c>
      <c r="K111" s="12">
        <f t="shared" si="1"/>
        <v>0.3684088269</v>
      </c>
    </row>
    <row r="112">
      <c r="A112" s="6" t="s">
        <v>18</v>
      </c>
      <c r="B112" s="3">
        <v>2021.0</v>
      </c>
      <c r="C112" s="7">
        <v>3615.0</v>
      </c>
      <c r="D112" s="7">
        <v>1464.0</v>
      </c>
      <c r="E112" s="7">
        <v>1303.0</v>
      </c>
      <c r="F112" s="7">
        <v>514.0</v>
      </c>
      <c r="G112" s="7">
        <v>437.0</v>
      </c>
      <c r="H112" s="13">
        <v>0.3606</v>
      </c>
      <c r="I112" s="10">
        <v>112.0</v>
      </c>
      <c r="J112" s="11">
        <v>2842.0</v>
      </c>
      <c r="K112" s="12">
        <f t="shared" si="1"/>
        <v>0.7861687414</v>
      </c>
    </row>
    <row r="113">
      <c r="A113" s="6" t="s">
        <v>19</v>
      </c>
      <c r="B113" s="3">
        <v>2021.0</v>
      </c>
      <c r="C113" s="7">
        <v>504.0</v>
      </c>
      <c r="D113" s="7">
        <v>261.0</v>
      </c>
      <c r="E113" s="7">
        <v>85.0</v>
      </c>
      <c r="F113" s="7">
        <v>3.0</v>
      </c>
      <c r="G113" s="7">
        <v>108.0</v>
      </c>
      <c r="H113" s="13">
        <v>0.3497</v>
      </c>
      <c r="I113" s="10">
        <v>12.0</v>
      </c>
      <c r="J113" s="8">
        <v>505.0</v>
      </c>
      <c r="K113" s="12">
        <f t="shared" si="1"/>
        <v>1.001984127</v>
      </c>
    </row>
    <row r="114">
      <c r="A114" s="6" t="s">
        <v>20</v>
      </c>
      <c r="B114" s="3">
        <v>2021.0</v>
      </c>
      <c r="C114" s="7">
        <v>456.0</v>
      </c>
      <c r="D114" s="7">
        <v>261.0</v>
      </c>
      <c r="E114" s="7">
        <v>68.0</v>
      </c>
      <c r="F114" s="7">
        <v>47.0</v>
      </c>
      <c r="G114" s="7">
        <v>86.0</v>
      </c>
      <c r="H114" s="13">
        <v>0.2464</v>
      </c>
      <c r="I114" s="10">
        <v>48.0</v>
      </c>
      <c r="J114" s="11">
        <v>400.0</v>
      </c>
      <c r="K114" s="12">
        <f t="shared" si="1"/>
        <v>0.8771929825</v>
      </c>
    </row>
    <row r="115">
      <c r="A115" s="6" t="s">
        <v>21</v>
      </c>
      <c r="B115" s="3">
        <v>2021.0</v>
      </c>
      <c r="C115" s="7">
        <v>23632.0</v>
      </c>
      <c r="D115" s="7">
        <v>10376.0</v>
      </c>
      <c r="E115" s="7">
        <v>9846.0</v>
      </c>
      <c r="F115" s="7">
        <v>6115.0</v>
      </c>
      <c r="G115" s="7">
        <v>3870.0</v>
      </c>
      <c r="H115" s="13">
        <v>0.4417</v>
      </c>
      <c r="I115" s="10" t="s">
        <v>13</v>
      </c>
      <c r="J115" s="11">
        <v>8867.0</v>
      </c>
      <c r="K115" s="12">
        <f t="shared" si="1"/>
        <v>0.3752115775</v>
      </c>
    </row>
    <row r="116">
      <c r="A116" s="6" t="s">
        <v>22</v>
      </c>
      <c r="B116" s="3">
        <v>2021.0</v>
      </c>
      <c r="C116" s="7">
        <v>10533.0</v>
      </c>
      <c r="D116" s="7">
        <v>6667.0</v>
      </c>
      <c r="E116" s="7">
        <v>2306.0</v>
      </c>
      <c r="F116" s="7">
        <v>1709.0</v>
      </c>
      <c r="G116" s="7">
        <v>1261.0</v>
      </c>
      <c r="H116" s="13">
        <v>0.3927</v>
      </c>
      <c r="I116" s="14">
        <v>3495.0</v>
      </c>
      <c r="J116" s="11">
        <v>4650.0</v>
      </c>
      <c r="K116" s="12">
        <f t="shared" si="1"/>
        <v>0.4414696668</v>
      </c>
    </row>
    <row r="117">
      <c r="A117" s="6" t="s">
        <v>23</v>
      </c>
      <c r="B117" s="3">
        <v>2021.0</v>
      </c>
      <c r="C117" s="7">
        <v>1437.0</v>
      </c>
      <c r="D117" s="7">
        <v>548.0</v>
      </c>
      <c r="E117" s="7">
        <v>702.0</v>
      </c>
      <c r="F117" s="7">
        <v>269.0</v>
      </c>
      <c r="G117" s="7">
        <v>257.0</v>
      </c>
      <c r="H117" s="13">
        <v>0.4919</v>
      </c>
      <c r="I117" s="10">
        <v>22.0</v>
      </c>
      <c r="J117" s="11">
        <v>1186.0</v>
      </c>
      <c r="K117" s="12">
        <f t="shared" si="1"/>
        <v>0.8253305498</v>
      </c>
    </row>
    <row r="118">
      <c r="A118" s="6" t="s">
        <v>24</v>
      </c>
      <c r="B118" s="3">
        <v>2021.0</v>
      </c>
      <c r="C118" s="7">
        <v>4237.0</v>
      </c>
      <c r="D118" s="7">
        <v>1634.0</v>
      </c>
      <c r="E118" s="7">
        <v>1760.0</v>
      </c>
      <c r="F118" s="7">
        <v>787.0</v>
      </c>
      <c r="G118" s="7">
        <v>1007.0</v>
      </c>
      <c r="H118" s="13">
        <v>0.523</v>
      </c>
      <c r="I118" s="10">
        <v>341.0</v>
      </c>
      <c r="J118" s="11">
        <v>2223.0</v>
      </c>
      <c r="K118" s="12">
        <f t="shared" si="1"/>
        <v>0.5246636771</v>
      </c>
    </row>
    <row r="119">
      <c r="A119" s="6" t="s">
        <v>25</v>
      </c>
      <c r="B119" s="3">
        <v>2021.0</v>
      </c>
      <c r="C119" s="7">
        <v>1651.0</v>
      </c>
      <c r="D119" s="7">
        <v>604.0</v>
      </c>
      <c r="E119" s="7">
        <v>591.0</v>
      </c>
      <c r="F119" s="7">
        <v>162.0</v>
      </c>
      <c r="G119" s="7">
        <v>322.0</v>
      </c>
      <c r="H119" s="13">
        <v>0.5473</v>
      </c>
      <c r="I119" s="10" t="s">
        <v>13</v>
      </c>
      <c r="J119" s="11">
        <v>1131.0</v>
      </c>
      <c r="K119" s="12">
        <f t="shared" si="1"/>
        <v>0.6850393701</v>
      </c>
    </row>
    <row r="120">
      <c r="A120" s="6" t="s">
        <v>26</v>
      </c>
      <c r="B120" s="3">
        <v>2021.0</v>
      </c>
      <c r="C120" s="7">
        <v>21259.0</v>
      </c>
      <c r="D120" s="7">
        <v>7674.0</v>
      </c>
      <c r="E120" s="7">
        <v>9226.0</v>
      </c>
      <c r="F120" s="7">
        <v>2455.0</v>
      </c>
      <c r="G120" s="7">
        <v>1597.0</v>
      </c>
      <c r="H120" s="13">
        <v>0.5191</v>
      </c>
      <c r="I120" s="14">
        <v>6736.0</v>
      </c>
      <c r="J120" s="11">
        <v>9058.0</v>
      </c>
      <c r="K120" s="12">
        <f t="shared" si="1"/>
        <v>0.4260783668</v>
      </c>
    </row>
    <row r="121">
      <c r="A121" s="6" t="s">
        <v>27</v>
      </c>
      <c r="B121" s="3">
        <v>2021.0</v>
      </c>
      <c r="C121" s="7">
        <v>13369.0</v>
      </c>
      <c r="D121" s="7">
        <v>4593.0</v>
      </c>
      <c r="E121" s="7">
        <v>4829.0</v>
      </c>
      <c r="F121" s="7">
        <v>1739.0</v>
      </c>
      <c r="G121" s="7">
        <v>1855.0</v>
      </c>
      <c r="H121" s="13">
        <v>0.5844</v>
      </c>
      <c r="I121" s="10" t="s">
        <v>13</v>
      </c>
      <c r="J121" s="11">
        <v>5428.0</v>
      </c>
      <c r="K121" s="12">
        <f t="shared" si="1"/>
        <v>0.4060139128</v>
      </c>
    </row>
    <row r="122">
      <c r="A122" s="6" t="s">
        <v>28</v>
      </c>
      <c r="B122" s="3">
        <v>2021.0</v>
      </c>
      <c r="C122" s="7">
        <v>7116.0</v>
      </c>
      <c r="D122" s="7">
        <v>3123.0</v>
      </c>
      <c r="E122" s="7">
        <v>2472.0</v>
      </c>
      <c r="F122" s="7">
        <v>1781.0</v>
      </c>
      <c r="G122" s="7">
        <v>839.0</v>
      </c>
      <c r="H122" s="13">
        <v>0.5277</v>
      </c>
      <c r="I122" s="10" t="s">
        <v>13</v>
      </c>
      <c r="J122" s="11">
        <v>2805.0</v>
      </c>
      <c r="K122" s="12">
        <f t="shared" si="1"/>
        <v>0.3941821248</v>
      </c>
    </row>
    <row r="123">
      <c r="A123" s="6" t="s">
        <v>29</v>
      </c>
      <c r="B123" s="3">
        <v>2021.0</v>
      </c>
      <c r="C123" s="7">
        <v>8395.0</v>
      </c>
      <c r="D123" s="7">
        <v>5578.0</v>
      </c>
      <c r="E123" s="7">
        <v>1195.0</v>
      </c>
      <c r="F123" s="7">
        <v>2481.0</v>
      </c>
      <c r="G123" s="7">
        <v>1198.0</v>
      </c>
      <c r="H123" s="13">
        <v>0.3833</v>
      </c>
      <c r="I123" s="14">
        <v>5947.0</v>
      </c>
      <c r="J123" s="11">
        <v>5679.0</v>
      </c>
      <c r="K123" s="12">
        <f t="shared" si="1"/>
        <v>0.6764740917</v>
      </c>
    </row>
    <row r="124">
      <c r="A124" s="6" t="s">
        <v>30</v>
      </c>
      <c r="B124" s="3">
        <v>2021.0</v>
      </c>
      <c r="C124" s="7">
        <v>3288.0</v>
      </c>
      <c r="D124" s="7">
        <v>1651.0</v>
      </c>
      <c r="E124" s="7">
        <v>1065.0</v>
      </c>
      <c r="F124" s="7">
        <v>529.0</v>
      </c>
      <c r="G124" s="7">
        <v>612.0</v>
      </c>
      <c r="H124" s="13">
        <v>0.3988</v>
      </c>
      <c r="I124" s="14">
        <v>1734.0</v>
      </c>
      <c r="J124" s="11">
        <v>1834.0</v>
      </c>
      <c r="K124" s="12">
        <f t="shared" si="1"/>
        <v>0.5577858881</v>
      </c>
    </row>
    <row r="125">
      <c r="A125" s="6" t="s">
        <v>31</v>
      </c>
      <c r="B125" s="3">
        <v>2021.0</v>
      </c>
      <c r="C125" s="7">
        <v>9143.0</v>
      </c>
      <c r="D125" s="7">
        <v>3518.0</v>
      </c>
      <c r="E125" s="7">
        <v>2520.0</v>
      </c>
      <c r="F125" s="7">
        <v>1481.0</v>
      </c>
      <c r="G125" s="7">
        <v>755.0</v>
      </c>
      <c r="H125" s="13">
        <v>0.5975</v>
      </c>
      <c r="I125" s="10" t="s">
        <v>13</v>
      </c>
      <c r="J125" s="11">
        <v>5919.0</v>
      </c>
      <c r="K125" s="12">
        <f t="shared" si="1"/>
        <v>0.6473805097</v>
      </c>
    </row>
    <row r="126">
      <c r="A126" s="6" t="s">
        <v>33</v>
      </c>
      <c r="B126" s="3">
        <v>2021.0</v>
      </c>
      <c r="C126" s="7">
        <v>3653.0</v>
      </c>
      <c r="D126" s="7">
        <v>1213.0</v>
      </c>
      <c r="E126" s="7">
        <v>1600.0</v>
      </c>
      <c r="F126" s="7">
        <v>85.0</v>
      </c>
      <c r="G126" s="7">
        <v>215.0</v>
      </c>
      <c r="H126" s="13">
        <v>0.398</v>
      </c>
      <c r="I126" s="10" t="s">
        <v>13</v>
      </c>
      <c r="J126" s="11">
        <v>3267.0</v>
      </c>
      <c r="K126" s="12">
        <f t="shared" si="1"/>
        <v>0.8943334246</v>
      </c>
    </row>
    <row r="127">
      <c r="A127" s="6" t="s">
        <v>34</v>
      </c>
      <c r="B127" s="3">
        <v>2021.0</v>
      </c>
      <c r="C127" s="7">
        <v>2206.0</v>
      </c>
      <c r="D127" s="7">
        <v>922.0</v>
      </c>
      <c r="E127" s="7">
        <v>824.0</v>
      </c>
      <c r="F127" s="7">
        <v>616.0</v>
      </c>
      <c r="G127" s="7">
        <v>345.0</v>
      </c>
      <c r="H127" s="13">
        <v>0.4724</v>
      </c>
      <c r="I127" s="14">
        <v>3302.0</v>
      </c>
      <c r="J127" s="11">
        <v>1717.0</v>
      </c>
      <c r="K127" s="12">
        <f t="shared" si="1"/>
        <v>0.7783318223</v>
      </c>
    </row>
    <row r="128">
      <c r="A128" s="6" t="s">
        <v>35</v>
      </c>
      <c r="B128" s="3">
        <v>2021.0</v>
      </c>
      <c r="C128" s="7">
        <v>9553.0</v>
      </c>
      <c r="D128" s="7">
        <v>3548.0</v>
      </c>
      <c r="E128" s="7">
        <v>4322.0</v>
      </c>
      <c r="F128" s="7">
        <v>3115.0</v>
      </c>
      <c r="G128" s="7">
        <v>1687.0</v>
      </c>
      <c r="H128" s="13">
        <v>0.4145</v>
      </c>
      <c r="I128" s="10">
        <v>463.0</v>
      </c>
      <c r="J128" s="11">
        <v>5434.0</v>
      </c>
      <c r="K128" s="12">
        <f t="shared" si="1"/>
        <v>0.5688265466</v>
      </c>
    </row>
    <row r="129">
      <c r="A129" s="6" t="s">
        <v>36</v>
      </c>
      <c r="B129" s="3">
        <v>2021.0</v>
      </c>
      <c r="C129" s="7">
        <v>6952.0</v>
      </c>
      <c r="D129" s="7">
        <v>1746.0</v>
      </c>
      <c r="E129" s="7">
        <v>2743.0</v>
      </c>
      <c r="F129" s="7">
        <v>1741.0</v>
      </c>
      <c r="G129" s="7">
        <v>1005.0</v>
      </c>
      <c r="H129" s="13">
        <v>0.5218</v>
      </c>
      <c r="I129" s="10">
        <v>113.0</v>
      </c>
      <c r="J129" s="11">
        <v>4827.0</v>
      </c>
      <c r="K129" s="12">
        <f t="shared" si="1"/>
        <v>0.6943325662</v>
      </c>
    </row>
    <row r="130">
      <c r="A130" s="6" t="s">
        <v>37</v>
      </c>
      <c r="B130" s="3">
        <v>2021.0</v>
      </c>
      <c r="C130" s="7">
        <v>13200.0</v>
      </c>
      <c r="D130" s="7">
        <v>3837.0</v>
      </c>
      <c r="E130" s="7">
        <v>5320.0</v>
      </c>
      <c r="F130" s="7">
        <v>891.0</v>
      </c>
      <c r="G130" s="7">
        <v>1346.0</v>
      </c>
      <c r="H130" s="13">
        <v>0.4527</v>
      </c>
      <c r="I130" s="10" t="s">
        <v>32</v>
      </c>
      <c r="J130" s="11">
        <v>4971.0</v>
      </c>
      <c r="K130" s="12">
        <f t="shared" si="1"/>
        <v>0.3765909091</v>
      </c>
    </row>
    <row r="131">
      <c r="A131" s="6" t="s">
        <v>38</v>
      </c>
      <c r="B131" s="3">
        <v>2021.0</v>
      </c>
      <c r="C131" s="7">
        <v>3561.0</v>
      </c>
      <c r="D131" s="7">
        <v>1741.0</v>
      </c>
      <c r="E131" s="7">
        <v>1186.0</v>
      </c>
      <c r="F131" s="7">
        <v>546.0</v>
      </c>
      <c r="G131" s="7">
        <v>546.0</v>
      </c>
      <c r="H131" s="13">
        <v>0.4641</v>
      </c>
      <c r="I131" s="10">
        <v>172.0</v>
      </c>
      <c r="J131" s="11">
        <v>1870.0</v>
      </c>
      <c r="K131" s="12">
        <f t="shared" si="1"/>
        <v>0.5251333895</v>
      </c>
    </row>
    <row r="132">
      <c r="A132" s="6" t="s">
        <v>39</v>
      </c>
      <c r="B132" s="3">
        <v>2021.0</v>
      </c>
      <c r="C132" s="7">
        <v>3186.0</v>
      </c>
      <c r="D132" s="7">
        <v>1020.0</v>
      </c>
      <c r="E132" s="7">
        <v>1363.0</v>
      </c>
      <c r="F132" s="7">
        <v>491.0</v>
      </c>
      <c r="G132" s="7">
        <v>287.0</v>
      </c>
      <c r="H132" s="13">
        <v>0.5795</v>
      </c>
      <c r="I132" s="10">
        <v>141.0</v>
      </c>
      <c r="J132" s="11">
        <v>1674.0</v>
      </c>
      <c r="K132" s="12">
        <f t="shared" si="1"/>
        <v>0.5254237288</v>
      </c>
    </row>
    <row r="133">
      <c r="A133" s="6" t="s">
        <v>40</v>
      </c>
      <c r="B133" s="3">
        <v>2021.0</v>
      </c>
      <c r="C133" s="7">
        <v>10516.0</v>
      </c>
      <c r="D133" s="7">
        <v>5524.0</v>
      </c>
      <c r="E133" s="7">
        <v>2745.0</v>
      </c>
      <c r="F133" s="7">
        <v>1244.0</v>
      </c>
      <c r="G133" s="7">
        <v>1087.0</v>
      </c>
      <c r="H133" s="13">
        <v>0.3817</v>
      </c>
      <c r="I133" s="10">
        <v>507.0</v>
      </c>
      <c r="J133" s="11">
        <v>7052.0</v>
      </c>
      <c r="K133" s="12">
        <f t="shared" si="1"/>
        <v>0.6705971852</v>
      </c>
    </row>
    <row r="134">
      <c r="A134" s="6" t="s">
        <v>41</v>
      </c>
      <c r="B134" s="3">
        <v>2021.0</v>
      </c>
      <c r="C134" s="7">
        <v>1595.0</v>
      </c>
      <c r="D134" s="7">
        <v>963.0</v>
      </c>
      <c r="E134" s="7">
        <v>378.0</v>
      </c>
      <c r="F134" s="7">
        <v>364.0</v>
      </c>
      <c r="G134" s="7">
        <v>202.0</v>
      </c>
      <c r="H134" s="13">
        <v>0.5284</v>
      </c>
      <c r="I134" s="14">
        <v>1034.0</v>
      </c>
      <c r="J134" s="8">
        <v>953.0</v>
      </c>
      <c r="K134" s="12">
        <f t="shared" si="1"/>
        <v>0.597492163</v>
      </c>
    </row>
    <row r="135">
      <c r="A135" s="6" t="s">
        <v>42</v>
      </c>
      <c r="B135" s="3">
        <v>2021.0</v>
      </c>
      <c r="C135" s="7">
        <v>3863.0</v>
      </c>
      <c r="D135" s="7">
        <v>1649.0</v>
      </c>
      <c r="E135" s="7">
        <v>1323.0</v>
      </c>
      <c r="F135" s="7">
        <v>535.0</v>
      </c>
      <c r="G135" s="7">
        <v>369.0</v>
      </c>
      <c r="H135" s="13">
        <v>0.573</v>
      </c>
      <c r="I135" s="10">
        <v>36.0</v>
      </c>
      <c r="J135" s="11">
        <v>1502.0</v>
      </c>
      <c r="K135" s="12">
        <f t="shared" si="1"/>
        <v>0.3888169816</v>
      </c>
    </row>
    <row r="136">
      <c r="A136" s="6" t="s">
        <v>43</v>
      </c>
      <c r="B136" s="3">
        <v>2021.0</v>
      </c>
      <c r="C136" s="7">
        <v>1113.0</v>
      </c>
      <c r="D136" s="7">
        <v>466.0</v>
      </c>
      <c r="E136" s="7">
        <v>339.0</v>
      </c>
      <c r="F136" s="7">
        <v>59.0</v>
      </c>
      <c r="G136" s="7">
        <v>232.0</v>
      </c>
      <c r="H136" s="13">
        <v>0.4422</v>
      </c>
      <c r="I136" s="10">
        <v>923.0</v>
      </c>
      <c r="J136" s="11">
        <v>708.0</v>
      </c>
      <c r="K136" s="12">
        <f t="shared" si="1"/>
        <v>0.6361185984</v>
      </c>
    </row>
    <row r="137">
      <c r="A137" s="6" t="s">
        <v>44</v>
      </c>
      <c r="B137" s="3">
        <v>2021.0</v>
      </c>
      <c r="C137" s="7">
        <v>3208.0</v>
      </c>
      <c r="D137" s="7">
        <v>1715.0</v>
      </c>
      <c r="E137" s="7">
        <v>1284.0</v>
      </c>
      <c r="F137" s="7">
        <v>535.0</v>
      </c>
      <c r="G137" s="7">
        <v>641.0</v>
      </c>
      <c r="H137" s="13">
        <v>0.4657</v>
      </c>
      <c r="I137" s="10">
        <v>219.0</v>
      </c>
      <c r="J137" s="11">
        <v>3467.0</v>
      </c>
      <c r="K137" s="12">
        <f t="shared" si="1"/>
        <v>1.080735661</v>
      </c>
    </row>
    <row r="138">
      <c r="A138" s="6" t="s">
        <v>45</v>
      </c>
      <c r="B138" s="3">
        <v>2021.0</v>
      </c>
      <c r="C138" s="7">
        <v>1859.0</v>
      </c>
      <c r="D138" s="7">
        <v>848.0</v>
      </c>
      <c r="E138" s="7">
        <v>662.0</v>
      </c>
      <c r="F138" s="7">
        <v>503.0</v>
      </c>
      <c r="G138" s="7">
        <v>396.0</v>
      </c>
      <c r="H138" s="13">
        <v>0.4923</v>
      </c>
      <c r="I138" s="10" t="s">
        <v>13</v>
      </c>
      <c r="J138" s="11">
        <v>1383.0</v>
      </c>
      <c r="K138" s="12">
        <f t="shared" si="1"/>
        <v>0.7439483593</v>
      </c>
    </row>
    <row r="139">
      <c r="A139" s="6" t="s">
        <v>46</v>
      </c>
      <c r="B139" s="3">
        <v>2021.0</v>
      </c>
      <c r="C139" s="7">
        <v>4213.0</v>
      </c>
      <c r="D139" s="7">
        <v>1806.0</v>
      </c>
      <c r="E139" s="7">
        <v>1678.0</v>
      </c>
      <c r="F139" s="7">
        <v>771.0</v>
      </c>
      <c r="G139" s="7">
        <v>718.0</v>
      </c>
      <c r="H139" s="13">
        <v>0.5517</v>
      </c>
      <c r="I139" s="10">
        <v>185.0</v>
      </c>
      <c r="J139" s="11">
        <v>1441.0</v>
      </c>
      <c r="K139" s="12">
        <f t="shared" si="1"/>
        <v>0.3420365535</v>
      </c>
    </row>
    <row r="140">
      <c r="A140" s="6" t="s">
        <v>47</v>
      </c>
      <c r="B140" s="3">
        <v>2021.0</v>
      </c>
      <c r="C140" s="7">
        <v>14882.0</v>
      </c>
      <c r="D140" s="7">
        <v>6436.0</v>
      </c>
      <c r="E140" s="7">
        <v>4665.0</v>
      </c>
      <c r="F140" s="7">
        <v>1581.0</v>
      </c>
      <c r="G140" s="7">
        <v>1098.0</v>
      </c>
      <c r="H140" s="13">
        <v>0.3991</v>
      </c>
      <c r="I140" s="10">
        <v>113.0</v>
      </c>
      <c r="J140" s="11">
        <v>11197.0</v>
      </c>
      <c r="K140" s="12">
        <f t="shared" si="1"/>
        <v>0.7523854321</v>
      </c>
    </row>
    <row r="141">
      <c r="A141" s="6" t="s">
        <v>48</v>
      </c>
      <c r="B141" s="3">
        <v>2021.0</v>
      </c>
      <c r="C141" s="7">
        <v>15436.0</v>
      </c>
      <c r="D141" s="7">
        <v>8697.0</v>
      </c>
      <c r="E141" s="7">
        <v>3214.0</v>
      </c>
      <c r="F141" s="7">
        <v>3445.0</v>
      </c>
      <c r="G141" s="7">
        <v>1593.0</v>
      </c>
      <c r="H141" s="13">
        <v>0.4059</v>
      </c>
      <c r="I141" s="10">
        <v>145.0</v>
      </c>
      <c r="J141" s="11">
        <v>8167.0</v>
      </c>
      <c r="K141" s="12">
        <f t="shared" si="1"/>
        <v>0.5290878466</v>
      </c>
    </row>
    <row r="142">
      <c r="A142" s="6" t="s">
        <v>49</v>
      </c>
      <c r="B142" s="3">
        <v>2021.0</v>
      </c>
      <c r="C142" s="7">
        <v>7470.0</v>
      </c>
      <c r="D142" s="7">
        <v>3620.0</v>
      </c>
      <c r="E142" s="7">
        <v>2377.0</v>
      </c>
      <c r="F142" s="7">
        <v>1602.0</v>
      </c>
      <c r="G142" s="7">
        <v>1381.0</v>
      </c>
      <c r="H142" s="13">
        <v>0.4612</v>
      </c>
      <c r="I142" s="10">
        <v>479.0</v>
      </c>
      <c r="J142" s="11">
        <v>4958.0</v>
      </c>
      <c r="K142" s="12">
        <f t="shared" si="1"/>
        <v>0.6637215529</v>
      </c>
    </row>
    <row r="143">
      <c r="A143" s="6" t="s">
        <v>50</v>
      </c>
      <c r="B143" s="3">
        <v>2021.0</v>
      </c>
      <c r="C143" s="7">
        <v>5301.0</v>
      </c>
      <c r="D143" s="7">
        <v>2025.0</v>
      </c>
      <c r="E143" s="7">
        <v>1824.0</v>
      </c>
      <c r="F143" s="7">
        <v>840.0</v>
      </c>
      <c r="G143" s="7">
        <v>667.0</v>
      </c>
      <c r="H143" s="13">
        <v>0.5299</v>
      </c>
      <c r="I143" s="10" t="s">
        <v>32</v>
      </c>
      <c r="J143" s="11">
        <v>3805.0</v>
      </c>
      <c r="K143" s="12">
        <f t="shared" si="1"/>
        <v>0.7177890964</v>
      </c>
    </row>
    <row r="144">
      <c r="A144" s="6" t="s">
        <v>51</v>
      </c>
      <c r="B144" s="3">
        <v>2021.0</v>
      </c>
      <c r="C144" s="7">
        <v>13537.0</v>
      </c>
      <c r="D144" s="7">
        <v>5617.0</v>
      </c>
      <c r="E144" s="7">
        <v>5866.0</v>
      </c>
      <c r="F144" s="7">
        <v>1844.0</v>
      </c>
      <c r="G144" s="7">
        <v>2181.0</v>
      </c>
      <c r="H144" s="13">
        <v>0.4364</v>
      </c>
      <c r="I144" s="10">
        <v>57.0</v>
      </c>
      <c r="J144" s="11">
        <v>12970.0</v>
      </c>
      <c r="K144" s="12">
        <f t="shared" si="1"/>
        <v>0.9581147965</v>
      </c>
    </row>
    <row r="145">
      <c r="A145" s="6" t="s">
        <v>52</v>
      </c>
      <c r="B145" s="3">
        <v>2021.0</v>
      </c>
      <c r="C145" s="7">
        <v>2221.0</v>
      </c>
      <c r="D145" s="7">
        <v>612.0</v>
      </c>
      <c r="E145" s="7">
        <v>507.0</v>
      </c>
      <c r="F145" s="7">
        <v>54.0</v>
      </c>
      <c r="G145" s="7">
        <v>69.0</v>
      </c>
      <c r="H145" s="13">
        <v>0.6052</v>
      </c>
      <c r="I145" s="14">
        <v>2094.0</v>
      </c>
      <c r="J145" s="16" t="s">
        <v>53</v>
      </c>
      <c r="K145" s="12" t="str">
        <f t="shared" si="1"/>
        <v>#VALUE!</v>
      </c>
    </row>
    <row r="146">
      <c r="A146" s="6" t="s">
        <v>54</v>
      </c>
      <c r="B146" s="3">
        <v>2021.0</v>
      </c>
      <c r="C146" s="7">
        <v>1841.0</v>
      </c>
      <c r="D146" s="7">
        <v>550.0</v>
      </c>
      <c r="E146" s="7">
        <v>684.0</v>
      </c>
      <c r="F146" s="7">
        <v>95.0</v>
      </c>
      <c r="G146" s="7">
        <v>224.0</v>
      </c>
      <c r="H146" s="13">
        <v>0.5359</v>
      </c>
      <c r="I146" s="10" t="s">
        <v>13</v>
      </c>
      <c r="J146" s="11">
        <v>1292.0</v>
      </c>
      <c r="K146" s="12">
        <f t="shared" si="1"/>
        <v>0.7017925041</v>
      </c>
    </row>
    <row r="147">
      <c r="A147" s="6" t="s">
        <v>55</v>
      </c>
      <c r="B147" s="3">
        <v>2021.0</v>
      </c>
      <c r="C147" s="7">
        <v>3956.0</v>
      </c>
      <c r="D147" s="7">
        <v>2531.0</v>
      </c>
      <c r="E147" s="7">
        <v>594.0</v>
      </c>
      <c r="F147" s="7">
        <v>749.0</v>
      </c>
      <c r="G147" s="7">
        <v>451.0</v>
      </c>
      <c r="H147" s="13">
        <v>0.4998</v>
      </c>
      <c r="I147" s="10">
        <v>780.0</v>
      </c>
      <c r="J147" s="11">
        <v>3040.0</v>
      </c>
      <c r="K147" s="12">
        <f t="shared" si="1"/>
        <v>0.7684529828</v>
      </c>
    </row>
    <row r="148">
      <c r="A148" s="6" t="s">
        <v>56</v>
      </c>
      <c r="B148" s="3">
        <v>2021.0</v>
      </c>
      <c r="C148" s="7">
        <v>1653.0</v>
      </c>
      <c r="D148" s="7">
        <v>781.0</v>
      </c>
      <c r="E148" s="7">
        <v>414.0</v>
      </c>
      <c r="F148" s="7">
        <v>442.0</v>
      </c>
      <c r="G148" s="7">
        <v>220.0</v>
      </c>
      <c r="H148" s="13">
        <v>0.4724</v>
      </c>
      <c r="I148" s="10" t="s">
        <v>13</v>
      </c>
      <c r="J148" s="11">
        <v>828.0</v>
      </c>
      <c r="K148" s="12">
        <f t="shared" si="1"/>
        <v>0.500907441</v>
      </c>
    </row>
    <row r="149">
      <c r="A149" s="6" t="s">
        <v>57</v>
      </c>
      <c r="B149" s="3">
        <v>2021.0</v>
      </c>
      <c r="C149" s="7">
        <v>9252.0</v>
      </c>
      <c r="D149" s="7">
        <v>5239.0</v>
      </c>
      <c r="E149" s="7">
        <v>1088.0</v>
      </c>
      <c r="F149" s="7">
        <v>1157.0</v>
      </c>
      <c r="G149" s="7">
        <v>1222.0</v>
      </c>
      <c r="H149" s="13">
        <v>0.4479</v>
      </c>
      <c r="I149" s="10" t="s">
        <v>13</v>
      </c>
      <c r="J149" s="11">
        <v>5175.0</v>
      </c>
      <c r="K149" s="12">
        <f t="shared" si="1"/>
        <v>0.5593385214</v>
      </c>
    </row>
    <row r="150">
      <c r="A150" s="6" t="s">
        <v>58</v>
      </c>
      <c r="B150" s="3">
        <v>2021.0</v>
      </c>
      <c r="C150" s="7">
        <v>28037.0</v>
      </c>
      <c r="D150" s="7">
        <v>12406.0</v>
      </c>
      <c r="E150" s="7">
        <v>9451.0</v>
      </c>
      <c r="F150" s="7">
        <v>7858.0</v>
      </c>
      <c r="G150" s="7">
        <v>4631.0</v>
      </c>
      <c r="H150" s="13">
        <v>0.3979</v>
      </c>
      <c r="I150" s="14">
        <v>14108.0</v>
      </c>
      <c r="J150" s="11">
        <v>11583.0</v>
      </c>
      <c r="K150" s="12">
        <f t="shared" si="1"/>
        <v>0.4131326461</v>
      </c>
    </row>
    <row r="151">
      <c r="A151" s="6" t="s">
        <v>59</v>
      </c>
      <c r="B151" s="3">
        <v>2021.0</v>
      </c>
      <c r="C151" s="7">
        <v>2121.0</v>
      </c>
      <c r="D151" s="7">
        <v>966.0</v>
      </c>
      <c r="E151" s="7">
        <v>663.0</v>
      </c>
      <c r="F151" s="7">
        <v>323.0</v>
      </c>
      <c r="G151" s="7">
        <v>530.0</v>
      </c>
      <c r="H151" s="13">
        <v>0.4119</v>
      </c>
      <c r="I151" s="14">
        <v>1102.0</v>
      </c>
      <c r="J151" s="11">
        <v>1476.0</v>
      </c>
      <c r="K151" s="12">
        <f t="shared" si="1"/>
        <v>0.6958981612</v>
      </c>
    </row>
    <row r="152">
      <c r="A152" s="6" t="s">
        <v>60</v>
      </c>
      <c r="B152" s="3">
        <v>2021.0</v>
      </c>
      <c r="C152" s="7">
        <v>5026.0</v>
      </c>
      <c r="D152" s="7">
        <v>3096.0</v>
      </c>
      <c r="E152" s="7">
        <v>481.0</v>
      </c>
      <c r="F152" s="7">
        <v>1492.0</v>
      </c>
      <c r="G152" s="7">
        <v>859.0</v>
      </c>
      <c r="H152" s="13">
        <v>0.2739</v>
      </c>
      <c r="I152" s="10" t="s">
        <v>13</v>
      </c>
      <c r="J152" s="16" t="s">
        <v>53</v>
      </c>
      <c r="K152" s="12" t="str">
        <f t="shared" si="1"/>
        <v>#VALUE!</v>
      </c>
    </row>
    <row r="153">
      <c r="A153" s="6" t="s">
        <v>61</v>
      </c>
      <c r="B153" s="3">
        <v>2021.0</v>
      </c>
      <c r="C153" s="7">
        <v>1088.0</v>
      </c>
      <c r="D153" s="7">
        <v>436.0</v>
      </c>
      <c r="E153" s="7">
        <v>356.0</v>
      </c>
      <c r="F153" s="7">
        <v>187.0</v>
      </c>
      <c r="G153" s="7">
        <v>189.0</v>
      </c>
      <c r="H153" s="13">
        <v>0.4787</v>
      </c>
      <c r="I153" s="10" t="s">
        <v>13</v>
      </c>
      <c r="J153" s="11">
        <v>1299.0</v>
      </c>
      <c r="K153" s="12">
        <f t="shared" si="1"/>
        <v>1.193933824</v>
      </c>
    </row>
    <row r="154">
      <c r="A154" s="6" t="s">
        <v>62</v>
      </c>
      <c r="B154" s="3">
        <v>2021.0</v>
      </c>
      <c r="C154" s="7">
        <v>8978.0</v>
      </c>
      <c r="D154" s="7">
        <v>3424.0</v>
      </c>
      <c r="E154" s="7">
        <v>3078.0</v>
      </c>
      <c r="F154" s="7">
        <v>1355.0</v>
      </c>
      <c r="G154" s="7">
        <v>1066.0</v>
      </c>
      <c r="H154" s="13">
        <v>0.654</v>
      </c>
      <c r="I154" s="10">
        <v>229.0</v>
      </c>
      <c r="J154" s="11">
        <v>4831.0</v>
      </c>
      <c r="K154" s="12">
        <f t="shared" si="1"/>
        <v>0.5380931165</v>
      </c>
    </row>
    <row r="155">
      <c r="A155" s="6" t="s">
        <v>63</v>
      </c>
      <c r="B155" s="3">
        <v>2021.0</v>
      </c>
      <c r="C155" s="7">
        <v>6827.0</v>
      </c>
      <c r="D155" s="7">
        <v>3172.0</v>
      </c>
      <c r="E155" s="7">
        <v>2694.0</v>
      </c>
      <c r="F155" s="7">
        <v>595.0</v>
      </c>
      <c r="G155" s="7">
        <v>697.0</v>
      </c>
      <c r="H155" s="13">
        <v>0.5153</v>
      </c>
      <c r="I155" s="10">
        <v>556.0</v>
      </c>
      <c r="J155" s="11">
        <v>2488.0</v>
      </c>
      <c r="K155" s="12">
        <f t="shared" si="1"/>
        <v>0.3644353303</v>
      </c>
    </row>
    <row r="156">
      <c r="A156" s="6" t="s">
        <v>64</v>
      </c>
      <c r="B156" s="3">
        <v>2021.0</v>
      </c>
      <c r="C156" s="7">
        <v>7290.0</v>
      </c>
      <c r="D156" s="7">
        <v>2100.0</v>
      </c>
      <c r="E156" s="7">
        <v>3901.0</v>
      </c>
      <c r="F156" s="7">
        <v>1833.0</v>
      </c>
      <c r="G156" s="7">
        <v>1830.0</v>
      </c>
      <c r="H156" s="13">
        <v>0.4423</v>
      </c>
      <c r="I156" s="10" t="s">
        <v>13</v>
      </c>
      <c r="J156" s="11">
        <v>3431.0</v>
      </c>
      <c r="K156" s="12">
        <f t="shared" si="1"/>
        <v>0.4706447188</v>
      </c>
    </row>
    <row r="157">
      <c r="A157" s="6" t="s">
        <v>65</v>
      </c>
      <c r="B157" s="3">
        <v>2021.0</v>
      </c>
      <c r="C157" s="7">
        <v>855.0</v>
      </c>
      <c r="D157" s="7">
        <v>326.0</v>
      </c>
      <c r="E157" s="7">
        <v>322.0</v>
      </c>
      <c r="F157" s="7">
        <v>33.0</v>
      </c>
      <c r="G157" s="7">
        <v>105.0</v>
      </c>
      <c r="H157" s="13">
        <v>0.657</v>
      </c>
      <c r="I157" s="10">
        <v>448.0</v>
      </c>
      <c r="J157" s="8">
        <v>447.0</v>
      </c>
      <c r="K157" s="12">
        <f t="shared" si="1"/>
        <v>0.5228070175</v>
      </c>
    </row>
    <row r="158">
      <c r="A158" s="18" t="s">
        <v>11</v>
      </c>
      <c r="B158" s="3">
        <v>2024.0</v>
      </c>
      <c r="C158" s="3">
        <v>2512.0</v>
      </c>
      <c r="D158" s="3">
        <v>907.0</v>
      </c>
      <c r="E158" s="3">
        <v>829.0</v>
      </c>
      <c r="F158" s="3">
        <v>242.0</v>
      </c>
      <c r="G158" s="3">
        <v>214.0</v>
      </c>
      <c r="H158" s="19">
        <v>0.548</v>
      </c>
      <c r="J158" s="20"/>
      <c r="K158" s="12">
        <f t="shared" si="1"/>
        <v>0</v>
      </c>
    </row>
    <row r="159">
      <c r="A159" s="18" t="s">
        <v>12</v>
      </c>
      <c r="B159" s="3">
        <v>2024.0</v>
      </c>
      <c r="C159" s="3">
        <v>5797.0</v>
      </c>
      <c r="D159" s="3">
        <v>3602.0</v>
      </c>
      <c r="E159" s="3">
        <v>924.0</v>
      </c>
      <c r="F159" s="3">
        <v>352.0</v>
      </c>
      <c r="G159" s="3">
        <v>611.0</v>
      </c>
      <c r="H159" s="19">
        <v>0.4</v>
      </c>
      <c r="J159" s="20"/>
      <c r="K159" s="12">
        <f t="shared" si="1"/>
        <v>0</v>
      </c>
    </row>
    <row r="160">
      <c r="A160" s="18" t="s">
        <v>14</v>
      </c>
      <c r="B160" s="3">
        <v>2024.0</v>
      </c>
      <c r="C160" s="3">
        <v>3444.0</v>
      </c>
      <c r="D160" s="3">
        <v>1546.0</v>
      </c>
      <c r="E160" s="3">
        <v>823.0</v>
      </c>
      <c r="F160" s="3">
        <v>126.0</v>
      </c>
      <c r="G160" s="3">
        <v>698.0</v>
      </c>
      <c r="H160" s="19">
        <v>0.383</v>
      </c>
      <c r="J160" s="20"/>
      <c r="K160" s="12">
        <f t="shared" si="1"/>
        <v>0</v>
      </c>
    </row>
    <row r="161">
      <c r="A161" s="18" t="s">
        <v>15</v>
      </c>
      <c r="B161" s="3">
        <v>2024.0</v>
      </c>
      <c r="C161" s="3">
        <v>9058.0</v>
      </c>
      <c r="D161" s="3">
        <v>2283.0</v>
      </c>
      <c r="E161" s="3">
        <v>3792.0</v>
      </c>
      <c r="F161" s="3">
        <v>1300.0</v>
      </c>
      <c r="G161" s="3">
        <v>1719.0</v>
      </c>
      <c r="H161" s="19">
        <v>0.464</v>
      </c>
      <c r="J161" s="20"/>
      <c r="K161" s="12">
        <f t="shared" si="1"/>
        <v>0</v>
      </c>
    </row>
    <row r="162">
      <c r="A162" s="18" t="s">
        <v>16</v>
      </c>
      <c r="B162" s="3">
        <v>2024.0</v>
      </c>
      <c r="C162" s="3">
        <v>40305.0</v>
      </c>
      <c r="D162" s="3">
        <v>20517.0</v>
      </c>
      <c r="E162" s="3">
        <v>12356.0</v>
      </c>
      <c r="F162" s="3">
        <v>6235.0</v>
      </c>
      <c r="G162" s="3">
        <v>5923.0</v>
      </c>
      <c r="H162" s="19">
        <v>0.479</v>
      </c>
      <c r="J162" s="20"/>
      <c r="K162" s="12">
        <f t="shared" si="1"/>
        <v>0</v>
      </c>
    </row>
    <row r="163">
      <c r="A163" s="18" t="s">
        <v>17</v>
      </c>
      <c r="B163" s="3">
        <v>2024.0</v>
      </c>
      <c r="C163" s="3">
        <v>4158.0</v>
      </c>
      <c r="D163" s="3">
        <v>1868.0</v>
      </c>
      <c r="E163" s="3">
        <v>1164.0</v>
      </c>
      <c r="F163" s="3">
        <v>15.0</v>
      </c>
      <c r="G163" s="3">
        <v>534.0</v>
      </c>
      <c r="H163" s="19">
        <v>0.419</v>
      </c>
      <c r="J163" s="20"/>
      <c r="K163" s="12">
        <f t="shared" si="1"/>
        <v>0</v>
      </c>
    </row>
    <row r="164">
      <c r="A164" s="18" t="s">
        <v>18</v>
      </c>
      <c r="B164" s="3">
        <v>2024.0</v>
      </c>
      <c r="C164" s="3">
        <v>3404.0</v>
      </c>
      <c r="D164" s="3">
        <v>1315.0</v>
      </c>
      <c r="E164" s="3">
        <v>1179.0</v>
      </c>
      <c r="F164" s="3">
        <v>321.0</v>
      </c>
      <c r="G164" s="3">
        <v>384.0</v>
      </c>
      <c r="H164" s="19">
        <v>0.384</v>
      </c>
      <c r="J164" s="20"/>
      <c r="K164" s="12">
        <f t="shared" si="1"/>
        <v>0</v>
      </c>
    </row>
    <row r="165">
      <c r="A165" s="18" t="s">
        <v>19</v>
      </c>
      <c r="B165" s="3">
        <v>2024.0</v>
      </c>
      <c r="C165" s="3">
        <v>545.0</v>
      </c>
      <c r="D165" s="3">
        <v>286.0</v>
      </c>
      <c r="E165" s="3">
        <v>118.0</v>
      </c>
      <c r="F165" s="3">
        <v>10.0</v>
      </c>
      <c r="G165" s="3">
        <v>63.0</v>
      </c>
      <c r="H165" s="19">
        <v>0.33</v>
      </c>
      <c r="J165" s="20"/>
      <c r="K165" s="12">
        <f t="shared" si="1"/>
        <v>0</v>
      </c>
    </row>
    <row r="166">
      <c r="A166" s="18" t="s">
        <v>20</v>
      </c>
      <c r="B166" s="3">
        <v>2024.0</v>
      </c>
      <c r="C166" s="3">
        <v>535.0</v>
      </c>
      <c r="D166" s="3">
        <v>325.0</v>
      </c>
      <c r="E166" s="3">
        <v>68.0</v>
      </c>
      <c r="F166" s="3">
        <v>61.0</v>
      </c>
      <c r="G166" s="3">
        <v>91.0</v>
      </c>
      <c r="H166" s="19">
        <v>0.327</v>
      </c>
      <c r="J166" s="20"/>
      <c r="K166" s="12">
        <f t="shared" si="1"/>
        <v>0</v>
      </c>
    </row>
    <row r="167">
      <c r="A167" s="18" t="s">
        <v>21</v>
      </c>
      <c r="B167" s="3">
        <v>2024.0</v>
      </c>
      <c r="C167" s="3">
        <v>17453.0</v>
      </c>
      <c r="D167" s="3">
        <v>7451.0</v>
      </c>
      <c r="E167" s="3">
        <v>6319.0</v>
      </c>
      <c r="F167" s="3">
        <v>870.0</v>
      </c>
      <c r="G167" s="3">
        <v>4037.0</v>
      </c>
      <c r="H167" s="19">
        <v>0.378</v>
      </c>
      <c r="J167" s="20"/>
      <c r="K167" s="12">
        <f t="shared" si="1"/>
        <v>0</v>
      </c>
    </row>
    <row r="168">
      <c r="A168" s="18" t="s">
        <v>22</v>
      </c>
      <c r="B168" s="3">
        <v>2024.0</v>
      </c>
      <c r="C168" s="3">
        <v>11056.0</v>
      </c>
      <c r="D168" s="3">
        <v>6819.0</v>
      </c>
      <c r="E168" s="3">
        <v>2015.0</v>
      </c>
      <c r="F168" s="3">
        <v>940.0</v>
      </c>
      <c r="G168" s="3">
        <v>1247.0</v>
      </c>
      <c r="H168" s="19">
        <v>0.415</v>
      </c>
      <c r="J168" s="20"/>
      <c r="K168" s="12">
        <f t="shared" si="1"/>
        <v>0</v>
      </c>
    </row>
    <row r="169">
      <c r="A169" s="18" t="s">
        <v>23</v>
      </c>
      <c r="B169" s="3">
        <v>2024.0</v>
      </c>
      <c r="C169" s="3">
        <v>882.0</v>
      </c>
      <c r="D169" s="3">
        <v>314.0</v>
      </c>
      <c r="E169" s="3">
        <v>308.0</v>
      </c>
      <c r="F169" s="3">
        <v>166.0</v>
      </c>
      <c r="G169" s="3">
        <v>164.0</v>
      </c>
      <c r="H169" s="19">
        <v>0.538</v>
      </c>
      <c r="J169" s="20"/>
      <c r="K169" s="12">
        <f t="shared" si="1"/>
        <v>0</v>
      </c>
    </row>
    <row r="170">
      <c r="A170" s="18" t="s">
        <v>24</v>
      </c>
      <c r="B170" s="3">
        <v>2024.0</v>
      </c>
      <c r="C170" s="3">
        <v>3733.0</v>
      </c>
      <c r="D170" s="3">
        <v>1383.0</v>
      </c>
      <c r="E170" s="3">
        <v>1504.0</v>
      </c>
      <c r="F170" s="3">
        <v>620.0</v>
      </c>
      <c r="G170" s="3">
        <v>867.0</v>
      </c>
      <c r="H170" s="19">
        <v>0.482</v>
      </c>
      <c r="J170" s="20"/>
      <c r="K170" s="12">
        <f t="shared" si="1"/>
        <v>0</v>
      </c>
    </row>
    <row r="171">
      <c r="A171" s="18" t="s">
        <v>25</v>
      </c>
      <c r="B171" s="3">
        <v>2024.0</v>
      </c>
      <c r="C171" s="3">
        <v>1317.0</v>
      </c>
      <c r="D171" s="3">
        <v>668.0</v>
      </c>
      <c r="E171" s="3">
        <v>234.0</v>
      </c>
      <c r="F171" s="3">
        <v>117.0</v>
      </c>
      <c r="G171" s="3">
        <v>293.0</v>
      </c>
      <c r="H171" s="19">
        <v>0.626</v>
      </c>
      <c r="J171" s="20"/>
      <c r="K171" s="12">
        <f t="shared" si="1"/>
        <v>0</v>
      </c>
    </row>
    <row r="172">
      <c r="A172" s="18" t="s">
        <v>26</v>
      </c>
      <c r="B172" s="3">
        <v>2024.0</v>
      </c>
      <c r="C172" s="3">
        <v>18530.0</v>
      </c>
      <c r="D172" s="3">
        <v>7547.0</v>
      </c>
      <c r="E172" s="3">
        <v>8208.0</v>
      </c>
      <c r="F172" s="3">
        <v>3039.0</v>
      </c>
      <c r="G172" s="3">
        <v>2179.0</v>
      </c>
      <c r="H172" s="19">
        <v>0.482</v>
      </c>
      <c r="J172" s="20"/>
      <c r="K172" s="12">
        <f t="shared" si="1"/>
        <v>0</v>
      </c>
    </row>
    <row r="173">
      <c r="A173" s="18" t="s">
        <v>27</v>
      </c>
      <c r="B173" s="3">
        <v>2024.0</v>
      </c>
      <c r="C173" s="3">
        <v>11918.0</v>
      </c>
      <c r="D173" s="3">
        <v>3546.0</v>
      </c>
      <c r="E173" s="3">
        <v>5116.0</v>
      </c>
      <c r="F173" s="3">
        <v>943.0</v>
      </c>
      <c r="G173" s="3">
        <v>1557.0</v>
      </c>
      <c r="H173" s="19">
        <v>0.547</v>
      </c>
      <c r="J173" s="20"/>
      <c r="K173" s="12">
        <f t="shared" si="1"/>
        <v>0</v>
      </c>
    </row>
    <row r="174">
      <c r="A174" s="18" t="s">
        <v>28</v>
      </c>
      <c r="B174" s="3">
        <v>2024.0</v>
      </c>
      <c r="C174" s="3">
        <v>6203.0</v>
      </c>
      <c r="D174" s="3">
        <v>2599.0</v>
      </c>
      <c r="E174" s="3">
        <v>1967.0</v>
      </c>
      <c r="F174" s="3">
        <v>1692.0</v>
      </c>
      <c r="G174" s="3">
        <v>744.0</v>
      </c>
      <c r="H174" s="19">
        <v>0.511</v>
      </c>
      <c r="J174" s="20"/>
      <c r="K174" s="12">
        <f t="shared" si="1"/>
        <v>0</v>
      </c>
    </row>
    <row r="175">
      <c r="A175" s="18" t="s">
        <v>29</v>
      </c>
      <c r="B175" s="3">
        <v>2024.0</v>
      </c>
      <c r="C175" s="3">
        <v>7937.0</v>
      </c>
      <c r="D175" s="3">
        <v>4516.0</v>
      </c>
      <c r="E175" s="3">
        <v>1140.0</v>
      </c>
      <c r="F175" s="3">
        <v>1516.0</v>
      </c>
      <c r="G175" s="3">
        <v>1257.0</v>
      </c>
      <c r="H175" s="19">
        <v>0.394</v>
      </c>
      <c r="J175" s="20"/>
      <c r="K175" s="12">
        <f t="shared" si="1"/>
        <v>0</v>
      </c>
    </row>
    <row r="176">
      <c r="A176" s="18" t="s">
        <v>30</v>
      </c>
      <c r="B176" s="3">
        <v>2024.0</v>
      </c>
      <c r="C176" s="3">
        <v>4483.0</v>
      </c>
      <c r="D176" s="3">
        <v>1949.0</v>
      </c>
      <c r="E176" s="3">
        <v>1691.0</v>
      </c>
      <c r="F176" s="3">
        <v>447.0</v>
      </c>
      <c r="G176" s="3">
        <v>608.0</v>
      </c>
      <c r="H176" s="19">
        <v>0.494</v>
      </c>
      <c r="J176" s="20"/>
      <c r="K176" s="12">
        <f t="shared" si="1"/>
        <v>0</v>
      </c>
    </row>
    <row r="177">
      <c r="A177" s="18" t="s">
        <v>31</v>
      </c>
      <c r="B177" s="3">
        <v>2024.0</v>
      </c>
      <c r="C177" s="3">
        <v>8564.0</v>
      </c>
      <c r="D177" s="3">
        <v>4757.0</v>
      </c>
      <c r="E177" s="3">
        <v>146.0</v>
      </c>
      <c r="F177" s="3">
        <v>1405.0</v>
      </c>
      <c r="G177" s="3">
        <v>869.0</v>
      </c>
      <c r="H177" s="19">
        <v>0.553</v>
      </c>
      <c r="J177" s="20"/>
      <c r="K177" s="12">
        <f t="shared" si="1"/>
        <v>0</v>
      </c>
    </row>
    <row r="178">
      <c r="A178" s="18" t="s">
        <v>33</v>
      </c>
      <c r="B178" s="3">
        <v>2024.0</v>
      </c>
      <c r="C178" s="3">
        <v>3605.0</v>
      </c>
      <c r="D178" s="3">
        <v>1494.0</v>
      </c>
      <c r="E178" s="3">
        <v>839.0</v>
      </c>
      <c r="F178" s="3">
        <v>172.0</v>
      </c>
      <c r="G178" s="3">
        <v>333.0</v>
      </c>
      <c r="H178" s="19">
        <v>0.343</v>
      </c>
      <c r="J178" s="20"/>
      <c r="K178" s="12">
        <f t="shared" si="1"/>
        <v>0</v>
      </c>
    </row>
    <row r="179">
      <c r="A179" s="18" t="s">
        <v>34</v>
      </c>
      <c r="B179" s="3">
        <v>2024.0</v>
      </c>
      <c r="C179" s="3">
        <v>2469.0</v>
      </c>
      <c r="D179" s="3">
        <v>993.0</v>
      </c>
      <c r="E179" s="3">
        <v>882.0</v>
      </c>
      <c r="F179" s="3">
        <v>223.0</v>
      </c>
      <c r="G179" s="3">
        <v>385.0</v>
      </c>
      <c r="H179" s="19">
        <v>0.448</v>
      </c>
      <c r="J179" s="20"/>
      <c r="K179" s="12">
        <f t="shared" si="1"/>
        <v>0</v>
      </c>
    </row>
    <row r="180">
      <c r="A180" s="18" t="s">
        <v>35</v>
      </c>
      <c r="B180" s="3">
        <v>2024.0</v>
      </c>
      <c r="C180" s="3">
        <v>9593.0</v>
      </c>
      <c r="D180" s="3">
        <v>2469.0</v>
      </c>
      <c r="E180" s="3">
        <v>4667.0</v>
      </c>
      <c r="F180" s="3">
        <v>1397.0</v>
      </c>
      <c r="G180" s="3">
        <v>1426.0</v>
      </c>
      <c r="H180" s="19">
        <v>0.361</v>
      </c>
      <c r="J180" s="20"/>
      <c r="K180" s="12">
        <f t="shared" si="1"/>
        <v>0</v>
      </c>
    </row>
    <row r="181">
      <c r="A181" s="18" t="s">
        <v>36</v>
      </c>
      <c r="B181" s="3">
        <v>2024.0</v>
      </c>
      <c r="C181" s="3">
        <v>5851.0</v>
      </c>
      <c r="D181" s="3">
        <v>1517.0</v>
      </c>
      <c r="E181" s="3">
        <v>1941.0</v>
      </c>
      <c r="F181" s="3">
        <v>865.0</v>
      </c>
      <c r="G181" s="3">
        <v>693.0</v>
      </c>
      <c r="H181" s="19">
        <v>0.547</v>
      </c>
      <c r="J181" s="20"/>
      <c r="K181" s="12">
        <f t="shared" si="1"/>
        <v>0</v>
      </c>
    </row>
    <row r="182">
      <c r="A182" s="18" t="s">
        <v>37</v>
      </c>
      <c r="B182" s="3">
        <v>2024.0</v>
      </c>
      <c r="C182" s="3">
        <v>12673.0</v>
      </c>
      <c r="D182" s="3">
        <v>2757.0</v>
      </c>
      <c r="E182" s="3">
        <v>5004.0</v>
      </c>
      <c r="F182" s="3">
        <v>367.0</v>
      </c>
      <c r="G182" s="3">
        <v>1309.0</v>
      </c>
      <c r="H182" s="19">
        <v>0.563</v>
      </c>
      <c r="J182" s="20"/>
      <c r="K182" s="12">
        <f t="shared" si="1"/>
        <v>0</v>
      </c>
    </row>
    <row r="183">
      <c r="A183" s="18" t="s">
        <v>38</v>
      </c>
      <c r="B183" s="3">
        <v>2024.0</v>
      </c>
      <c r="C183" s="3">
        <v>3911.0</v>
      </c>
      <c r="D183" s="3">
        <v>1558.0</v>
      </c>
      <c r="E183" s="3">
        <v>1450.0</v>
      </c>
      <c r="F183" s="3">
        <v>433.0</v>
      </c>
      <c r="G183" s="3">
        <v>592.0</v>
      </c>
      <c r="H183" s="19">
        <v>0.469</v>
      </c>
      <c r="J183" s="20"/>
      <c r="K183" s="12">
        <f t="shared" si="1"/>
        <v>0</v>
      </c>
    </row>
    <row r="184">
      <c r="A184" s="18" t="s">
        <v>39</v>
      </c>
      <c r="B184" s="3">
        <v>2024.0</v>
      </c>
      <c r="C184" s="3">
        <v>2265.0</v>
      </c>
      <c r="D184" s="3">
        <v>1577.0</v>
      </c>
      <c r="E184" s="3">
        <v>116.0</v>
      </c>
      <c r="F184" s="3">
        <v>255.0</v>
      </c>
      <c r="G184" s="3">
        <v>264.0</v>
      </c>
      <c r="H184" s="19">
        <v>0.559</v>
      </c>
      <c r="J184" s="20"/>
      <c r="K184" s="12">
        <f t="shared" si="1"/>
        <v>0</v>
      </c>
    </row>
    <row r="185">
      <c r="A185" s="18" t="s">
        <v>40</v>
      </c>
      <c r="B185" s="3">
        <v>2024.0</v>
      </c>
      <c r="C185" s="3">
        <v>10774.0</v>
      </c>
      <c r="D185" s="3">
        <v>5415.0</v>
      </c>
      <c r="E185" s="3">
        <v>2454.0</v>
      </c>
      <c r="F185" s="3">
        <v>1088.0</v>
      </c>
      <c r="G185" s="3">
        <v>1205.0</v>
      </c>
      <c r="H185" s="19">
        <v>0.323</v>
      </c>
      <c r="J185" s="20"/>
      <c r="K185" s="12">
        <f t="shared" si="1"/>
        <v>0</v>
      </c>
    </row>
    <row r="186">
      <c r="A186" s="18" t="s">
        <v>41</v>
      </c>
      <c r="B186" s="3">
        <v>2024.0</v>
      </c>
      <c r="C186" s="3">
        <v>1237.0</v>
      </c>
      <c r="D186" s="3">
        <v>636.0</v>
      </c>
      <c r="E186" s="3">
        <v>304.0</v>
      </c>
      <c r="F186" s="3">
        <v>319.0</v>
      </c>
      <c r="G186" s="3">
        <v>238.0</v>
      </c>
      <c r="H186" s="19">
        <v>0.476</v>
      </c>
      <c r="J186" s="20"/>
      <c r="K186" s="12">
        <f t="shared" si="1"/>
        <v>0</v>
      </c>
    </row>
    <row r="187">
      <c r="A187" s="18" t="s">
        <v>42</v>
      </c>
      <c r="B187" s="3">
        <v>2024.0</v>
      </c>
      <c r="C187" s="3">
        <v>3743.0</v>
      </c>
      <c r="D187" s="3">
        <v>1542.0</v>
      </c>
      <c r="E187" s="3">
        <v>1112.0</v>
      </c>
      <c r="F187" s="3">
        <v>259.0</v>
      </c>
      <c r="G187" s="3">
        <v>485.0</v>
      </c>
      <c r="H187" s="19">
        <v>0.509</v>
      </c>
      <c r="J187" s="20"/>
      <c r="K187" s="12">
        <f t="shared" si="1"/>
        <v>0</v>
      </c>
    </row>
    <row r="188">
      <c r="A188" s="18" t="s">
        <v>43</v>
      </c>
      <c r="B188" s="3">
        <v>2024.0</v>
      </c>
      <c r="C188" s="3">
        <v>1164.0</v>
      </c>
      <c r="D188" s="3">
        <v>511.0</v>
      </c>
      <c r="E188" s="3">
        <v>278.0</v>
      </c>
      <c r="F188" s="3">
        <v>25.0</v>
      </c>
      <c r="G188" s="3">
        <v>143.0</v>
      </c>
      <c r="H188" s="19">
        <v>0.582</v>
      </c>
      <c r="J188" s="20"/>
      <c r="K188" s="12">
        <f t="shared" si="1"/>
        <v>0</v>
      </c>
    </row>
    <row r="189">
      <c r="A189" s="18" t="s">
        <v>44</v>
      </c>
      <c r="B189" s="3">
        <v>2024.0</v>
      </c>
      <c r="C189" s="3">
        <v>2826.0</v>
      </c>
      <c r="D189" s="3">
        <v>1419.0</v>
      </c>
      <c r="E189" s="3">
        <v>1164.0</v>
      </c>
      <c r="F189" s="3">
        <v>300.0</v>
      </c>
      <c r="G189" s="3">
        <v>383.0</v>
      </c>
      <c r="H189" s="19">
        <v>0.451</v>
      </c>
      <c r="J189" s="20"/>
      <c r="K189" s="12">
        <f t="shared" si="1"/>
        <v>0</v>
      </c>
    </row>
    <row r="190">
      <c r="A190" s="18" t="s">
        <v>45</v>
      </c>
      <c r="B190" s="3">
        <v>2024.0</v>
      </c>
      <c r="C190" s="3">
        <v>2307.0</v>
      </c>
      <c r="D190" s="3">
        <v>930.0</v>
      </c>
      <c r="E190" s="3">
        <v>812.0</v>
      </c>
      <c r="F190" s="3">
        <v>390.0</v>
      </c>
      <c r="G190" s="3">
        <v>152.0</v>
      </c>
      <c r="H190" s="19">
        <v>0.616</v>
      </c>
      <c r="J190" s="20"/>
      <c r="K190" s="12">
        <f t="shared" si="1"/>
        <v>0</v>
      </c>
    </row>
    <row r="191">
      <c r="A191" s="18" t="s">
        <v>46</v>
      </c>
      <c r="B191" s="3">
        <v>2024.0</v>
      </c>
      <c r="C191" s="3">
        <v>4044.0</v>
      </c>
      <c r="D191" s="3">
        <v>1609.0</v>
      </c>
      <c r="E191" s="3">
        <v>1661.0</v>
      </c>
      <c r="F191" s="3">
        <v>387.0</v>
      </c>
      <c r="G191" s="3">
        <v>726.0</v>
      </c>
      <c r="H191" s="19">
        <v>0.555</v>
      </c>
      <c r="J191" s="20"/>
      <c r="K191" s="12">
        <f t="shared" si="1"/>
        <v>0</v>
      </c>
    </row>
    <row r="192">
      <c r="A192" s="18" t="s">
        <v>47</v>
      </c>
      <c r="B192" s="3">
        <v>2024.0</v>
      </c>
      <c r="C192" s="3">
        <v>14752.0</v>
      </c>
      <c r="D192" s="3">
        <v>6360.0</v>
      </c>
      <c r="E192" s="3">
        <v>5082.0</v>
      </c>
      <c r="F192" s="3">
        <v>1073.0</v>
      </c>
      <c r="G192" s="3">
        <v>1434.0</v>
      </c>
      <c r="H192" s="19">
        <v>0.47</v>
      </c>
      <c r="J192" s="20"/>
      <c r="K192" s="12">
        <f t="shared" si="1"/>
        <v>0</v>
      </c>
    </row>
    <row r="193">
      <c r="A193" s="18" t="s">
        <v>48</v>
      </c>
      <c r="B193" s="3">
        <v>2024.0</v>
      </c>
      <c r="C193" s="3">
        <v>15053.0</v>
      </c>
      <c r="D193" s="3">
        <v>6786.0</v>
      </c>
      <c r="E193" s="3">
        <v>3298.0</v>
      </c>
      <c r="F193" s="3">
        <v>3794.0</v>
      </c>
      <c r="G193" s="3">
        <v>1527.0</v>
      </c>
      <c r="H193" s="19">
        <v>0.42</v>
      </c>
      <c r="J193" s="20"/>
      <c r="K193" s="12">
        <f t="shared" si="1"/>
        <v>0</v>
      </c>
    </row>
    <row r="194">
      <c r="A194" s="18" t="s">
        <v>49</v>
      </c>
      <c r="B194" s="3">
        <v>2024.0</v>
      </c>
      <c r="C194" s="3">
        <v>6051.0</v>
      </c>
      <c r="D194" s="3">
        <v>3067.0</v>
      </c>
      <c r="E194" s="3">
        <v>1779.0</v>
      </c>
      <c r="F194" s="3">
        <v>1289.0</v>
      </c>
      <c r="G194" s="3">
        <v>1349.0</v>
      </c>
      <c r="H194" s="19">
        <v>0.461</v>
      </c>
      <c r="J194" s="20"/>
      <c r="K194" s="12">
        <f t="shared" si="1"/>
        <v>0</v>
      </c>
    </row>
    <row r="195">
      <c r="A195" s="18" t="s">
        <v>50</v>
      </c>
      <c r="B195" s="3">
        <v>2024.0</v>
      </c>
      <c r="C195" s="3">
        <v>4377.0</v>
      </c>
      <c r="D195" s="3">
        <v>1829.0</v>
      </c>
      <c r="E195" s="3">
        <v>1484.0</v>
      </c>
      <c r="F195" s="3">
        <v>167.0</v>
      </c>
      <c r="G195" s="3">
        <v>390.0</v>
      </c>
      <c r="H195" s="19">
        <v>0.516</v>
      </c>
      <c r="J195" s="20"/>
      <c r="K195" s="12">
        <f t="shared" si="1"/>
        <v>0</v>
      </c>
    </row>
    <row r="196">
      <c r="A196" s="18" t="s">
        <v>51</v>
      </c>
      <c r="B196" s="3">
        <v>2024.0</v>
      </c>
      <c r="C196" s="3">
        <v>11312.0</v>
      </c>
      <c r="D196" s="3">
        <v>4616.0</v>
      </c>
      <c r="E196" s="3">
        <v>2780.0</v>
      </c>
      <c r="F196" s="3">
        <v>1346.0</v>
      </c>
      <c r="G196" s="3">
        <v>1672.0</v>
      </c>
      <c r="H196" s="19">
        <v>0.479</v>
      </c>
      <c r="J196" s="20"/>
      <c r="K196" s="12">
        <f t="shared" si="1"/>
        <v>0</v>
      </c>
    </row>
    <row r="197">
      <c r="A197" s="18" t="s">
        <v>52</v>
      </c>
      <c r="B197" s="3">
        <v>2024.0</v>
      </c>
      <c r="C197" s="3">
        <v>2356.0</v>
      </c>
      <c r="D197" s="21"/>
      <c r="E197" s="3">
        <v>366.0</v>
      </c>
      <c r="F197" s="3">
        <v>17.0</v>
      </c>
      <c r="G197" s="3">
        <v>34.0</v>
      </c>
      <c r="H197" s="19">
        <v>0.522</v>
      </c>
      <c r="J197" s="20"/>
      <c r="K197" s="12">
        <f t="shared" si="1"/>
        <v>0</v>
      </c>
    </row>
    <row r="198">
      <c r="A198" s="18" t="s">
        <v>54</v>
      </c>
      <c r="B198" s="3">
        <v>2024.0</v>
      </c>
      <c r="C198" s="3">
        <v>1692.0</v>
      </c>
      <c r="D198" s="3">
        <v>483.0</v>
      </c>
      <c r="E198" s="3">
        <v>459.0</v>
      </c>
      <c r="F198" s="3">
        <v>46.0</v>
      </c>
      <c r="G198" s="3">
        <v>110.0</v>
      </c>
      <c r="H198" s="19">
        <v>0.538</v>
      </c>
      <c r="J198" s="20"/>
      <c r="K198" s="12">
        <f t="shared" si="1"/>
        <v>0</v>
      </c>
    </row>
    <row r="199">
      <c r="A199" s="18" t="s">
        <v>55</v>
      </c>
      <c r="B199" s="3">
        <v>2024.0</v>
      </c>
      <c r="C199" s="3">
        <v>3337.0</v>
      </c>
      <c r="D199" s="3">
        <v>1883.0</v>
      </c>
      <c r="E199" s="3">
        <v>821.0</v>
      </c>
      <c r="F199" s="3">
        <v>718.0</v>
      </c>
      <c r="G199" s="3">
        <v>562.0</v>
      </c>
      <c r="H199" s="19">
        <v>0.452</v>
      </c>
      <c r="J199" s="20"/>
      <c r="K199" s="12">
        <f t="shared" si="1"/>
        <v>0</v>
      </c>
    </row>
    <row r="200">
      <c r="A200" s="18" t="s">
        <v>56</v>
      </c>
      <c r="B200" s="3">
        <v>2024.0</v>
      </c>
      <c r="C200" s="3">
        <v>1685.0</v>
      </c>
      <c r="D200" s="3">
        <v>871.0</v>
      </c>
      <c r="E200" s="3">
        <v>447.0</v>
      </c>
      <c r="F200" s="3">
        <v>473.0</v>
      </c>
      <c r="G200" s="3">
        <v>260.0</v>
      </c>
      <c r="H200" s="19">
        <v>0.471</v>
      </c>
      <c r="J200" s="20"/>
      <c r="K200" s="12">
        <f t="shared" si="1"/>
        <v>0</v>
      </c>
    </row>
    <row r="201">
      <c r="A201" s="18" t="s">
        <v>57</v>
      </c>
      <c r="B201" s="3">
        <v>2024.0</v>
      </c>
      <c r="C201" s="3">
        <v>9123.0</v>
      </c>
      <c r="D201" s="3">
        <v>1178.0</v>
      </c>
      <c r="E201" s="3">
        <v>426.0</v>
      </c>
      <c r="F201" s="3">
        <v>825.0</v>
      </c>
      <c r="G201" s="3">
        <v>1165.0</v>
      </c>
      <c r="H201" s="19">
        <v>0.434</v>
      </c>
      <c r="J201" s="20"/>
      <c r="K201" s="12">
        <f t="shared" si="1"/>
        <v>0</v>
      </c>
    </row>
    <row r="202">
      <c r="A202" s="18" t="s">
        <v>58</v>
      </c>
      <c r="B202" s="3">
        <v>2024.0</v>
      </c>
      <c r="C202" s="3">
        <v>17225.0</v>
      </c>
      <c r="D202" s="3">
        <v>7954.0</v>
      </c>
      <c r="E202" s="3">
        <v>4986.0</v>
      </c>
      <c r="F202" s="3">
        <v>3992.0</v>
      </c>
      <c r="G202" s="3">
        <v>3075.0</v>
      </c>
      <c r="H202" s="19">
        <v>0.39</v>
      </c>
      <c r="J202" s="20"/>
      <c r="K202" s="12">
        <f t="shared" si="1"/>
        <v>0</v>
      </c>
    </row>
    <row r="203">
      <c r="A203" s="18" t="s">
        <v>59</v>
      </c>
      <c r="B203" s="3">
        <v>2024.0</v>
      </c>
      <c r="C203" s="3">
        <v>1706.0</v>
      </c>
      <c r="D203" s="3">
        <v>805.0</v>
      </c>
      <c r="E203" s="3">
        <v>500.0</v>
      </c>
      <c r="F203" s="3">
        <v>201.0</v>
      </c>
      <c r="G203" s="3">
        <v>316.0</v>
      </c>
      <c r="H203" s="19">
        <v>0.442</v>
      </c>
      <c r="J203" s="20"/>
      <c r="K203" s="12">
        <f t="shared" si="1"/>
        <v>0</v>
      </c>
    </row>
    <row r="204">
      <c r="A204" s="18" t="s">
        <v>60</v>
      </c>
      <c r="B204" s="3">
        <v>2024.0</v>
      </c>
      <c r="C204" s="3">
        <v>5339.0</v>
      </c>
      <c r="D204" s="3">
        <v>2870.0</v>
      </c>
      <c r="E204" s="3">
        <v>542.0</v>
      </c>
      <c r="F204" s="3">
        <v>978.0</v>
      </c>
      <c r="G204" s="3">
        <v>571.0</v>
      </c>
      <c r="H204" s="19">
        <v>0.285</v>
      </c>
      <c r="J204" s="20"/>
      <c r="K204" s="12">
        <f t="shared" si="1"/>
        <v>0</v>
      </c>
    </row>
    <row r="205">
      <c r="A205" s="18" t="s">
        <v>61</v>
      </c>
      <c r="B205" s="3">
        <v>2024.0</v>
      </c>
      <c r="C205" s="3">
        <v>945.0</v>
      </c>
      <c r="D205" s="3">
        <v>116.0</v>
      </c>
      <c r="E205" s="3">
        <v>306.0</v>
      </c>
      <c r="F205" s="3">
        <v>174.0</v>
      </c>
      <c r="G205" s="3">
        <v>222.0</v>
      </c>
      <c r="H205" s="19">
        <v>0.381</v>
      </c>
      <c r="J205" s="20"/>
      <c r="K205" s="12">
        <f t="shared" si="1"/>
        <v>0</v>
      </c>
    </row>
    <row r="206">
      <c r="A206" s="18" t="s">
        <v>62</v>
      </c>
      <c r="B206" s="3">
        <v>2024.0</v>
      </c>
      <c r="C206" s="3">
        <v>6192.0</v>
      </c>
      <c r="D206" s="3">
        <v>2070.0</v>
      </c>
      <c r="E206" s="3">
        <v>2708.0</v>
      </c>
      <c r="F206" s="3">
        <v>873.0</v>
      </c>
      <c r="G206" s="3">
        <v>712.0</v>
      </c>
      <c r="H206" s="19">
        <v>0.623</v>
      </c>
      <c r="J206" s="20"/>
      <c r="K206" s="12">
        <f t="shared" si="1"/>
        <v>0</v>
      </c>
    </row>
    <row r="207">
      <c r="A207" s="18" t="s">
        <v>63</v>
      </c>
      <c r="B207" s="3">
        <v>2024.0</v>
      </c>
      <c r="C207" s="3">
        <v>6050.0</v>
      </c>
      <c r="D207" s="3">
        <v>2849.0</v>
      </c>
      <c r="E207" s="3">
        <v>2278.0</v>
      </c>
      <c r="F207" s="3">
        <v>488.0</v>
      </c>
      <c r="G207" s="3">
        <v>589.0</v>
      </c>
      <c r="H207" s="19">
        <v>0.514</v>
      </c>
      <c r="J207" s="20"/>
      <c r="K207" s="12">
        <f t="shared" si="1"/>
        <v>0</v>
      </c>
    </row>
    <row r="208">
      <c r="A208" s="18" t="s">
        <v>64</v>
      </c>
      <c r="B208" s="3">
        <v>2024.0</v>
      </c>
      <c r="C208" s="3">
        <v>6939.0</v>
      </c>
      <c r="D208" s="3">
        <v>1923.0</v>
      </c>
      <c r="E208" s="3">
        <v>3466.0</v>
      </c>
      <c r="F208" s="3">
        <v>932.0</v>
      </c>
      <c r="G208" s="3">
        <v>1064.0</v>
      </c>
      <c r="H208" s="19">
        <v>0.472</v>
      </c>
      <c r="J208" s="20"/>
      <c r="K208" s="12">
        <f t="shared" si="1"/>
        <v>0</v>
      </c>
    </row>
    <row r="209">
      <c r="A209" s="18" t="s">
        <v>65</v>
      </c>
      <c r="B209" s="3">
        <v>2024.0</v>
      </c>
      <c r="C209" s="3">
        <v>625.0</v>
      </c>
      <c r="D209" s="3">
        <v>97.0</v>
      </c>
      <c r="E209" s="3">
        <v>97.0</v>
      </c>
      <c r="F209" s="21"/>
      <c r="G209" s="3">
        <v>84.0</v>
      </c>
      <c r="H209" s="19">
        <v>0.717</v>
      </c>
      <c r="J209" s="20"/>
      <c r="K209" s="12">
        <f t="shared" si="1"/>
        <v>0</v>
      </c>
    </row>
    <row r="210">
      <c r="A210" s="18" t="s">
        <v>11</v>
      </c>
      <c r="B210" s="3">
        <v>2025.0</v>
      </c>
      <c r="C210" s="22">
        <v>2516.0</v>
      </c>
      <c r="D210" s="23">
        <v>977.0</v>
      </c>
      <c r="E210" s="24">
        <v>771.0</v>
      </c>
      <c r="F210" s="23">
        <v>239.0</v>
      </c>
      <c r="G210" s="23">
        <v>179.0</v>
      </c>
      <c r="H210" s="25">
        <v>0.57</v>
      </c>
      <c r="I210" s="26" t="s">
        <v>13</v>
      </c>
      <c r="J210" s="23">
        <v>912.0</v>
      </c>
      <c r="K210" s="12">
        <f t="shared" si="1"/>
        <v>0.3624801272</v>
      </c>
      <c r="L210" s="27"/>
    </row>
    <row r="211">
      <c r="A211" s="18" t="s">
        <v>12</v>
      </c>
      <c r="B211" s="3">
        <v>2025.0</v>
      </c>
      <c r="C211" s="28">
        <v>5734.0</v>
      </c>
      <c r="D211" s="29">
        <v>3600.0</v>
      </c>
      <c r="E211" s="30">
        <v>893.0</v>
      </c>
      <c r="F211" s="30">
        <v>375.0</v>
      </c>
      <c r="G211" s="30">
        <v>768.0</v>
      </c>
      <c r="H211" s="31">
        <v>0.375</v>
      </c>
      <c r="I211" s="26">
        <v>11.0</v>
      </c>
      <c r="J211" s="29">
        <v>2697.0</v>
      </c>
      <c r="K211" s="12">
        <f t="shared" si="1"/>
        <v>0.4703522846</v>
      </c>
      <c r="L211" s="27"/>
    </row>
    <row r="212">
      <c r="A212" s="18" t="s">
        <v>14</v>
      </c>
      <c r="B212" s="3">
        <v>2025.0</v>
      </c>
      <c r="C212" s="28">
        <v>3278.0</v>
      </c>
      <c r="D212" s="29">
        <v>1460.0</v>
      </c>
      <c r="E212" s="29">
        <v>777.0</v>
      </c>
      <c r="F212" s="30">
        <v>78.0</v>
      </c>
      <c r="G212" s="30">
        <v>561.0</v>
      </c>
      <c r="H212" s="31">
        <v>0.42</v>
      </c>
      <c r="I212" s="26">
        <v>648.0</v>
      </c>
      <c r="J212" s="29">
        <v>1618.0</v>
      </c>
      <c r="K212" s="12">
        <f t="shared" si="1"/>
        <v>0.4935936547</v>
      </c>
      <c r="L212" s="27"/>
    </row>
    <row r="213">
      <c r="A213" s="18" t="s">
        <v>15</v>
      </c>
      <c r="B213" s="3">
        <v>2025.0</v>
      </c>
      <c r="C213" s="28">
        <v>8369.0</v>
      </c>
      <c r="D213" s="29">
        <v>1970.0</v>
      </c>
      <c r="E213" s="29">
        <v>2155.0</v>
      </c>
      <c r="F213" s="29">
        <v>1002.0</v>
      </c>
      <c r="G213" s="29">
        <v>1440.0</v>
      </c>
      <c r="H213" s="31">
        <v>0.452</v>
      </c>
      <c r="I213" s="32">
        <v>1131.0</v>
      </c>
      <c r="J213" s="29">
        <v>1918.0</v>
      </c>
      <c r="K213" s="12">
        <f t="shared" si="1"/>
        <v>0.2291791134</v>
      </c>
      <c r="L213" s="27"/>
    </row>
    <row r="214">
      <c r="A214" s="18" t="s">
        <v>16</v>
      </c>
      <c r="B214" s="3">
        <v>2025.0</v>
      </c>
      <c r="C214" s="28">
        <v>37499.0</v>
      </c>
      <c r="D214" s="29">
        <v>19552.0</v>
      </c>
      <c r="E214" s="29">
        <v>11580.0</v>
      </c>
      <c r="F214" s="29">
        <v>4636.0</v>
      </c>
      <c r="G214" s="29">
        <v>5234.0</v>
      </c>
      <c r="H214" s="31">
        <v>0.475</v>
      </c>
      <c r="I214" s="32">
        <v>23372.0</v>
      </c>
      <c r="J214" s="29">
        <v>30945.0</v>
      </c>
      <c r="K214" s="12">
        <f t="shared" si="1"/>
        <v>0.8252220059</v>
      </c>
      <c r="L214" s="27"/>
    </row>
    <row r="215">
      <c r="A215" s="18" t="s">
        <v>17</v>
      </c>
      <c r="B215" s="3">
        <v>2025.0</v>
      </c>
      <c r="C215" s="28">
        <v>4373.0</v>
      </c>
      <c r="D215" s="29">
        <v>1906.0</v>
      </c>
      <c r="E215" s="29">
        <v>1397.0</v>
      </c>
      <c r="F215" s="30">
        <v>6.0</v>
      </c>
      <c r="G215" s="30">
        <v>436.0</v>
      </c>
      <c r="H215" s="31">
        <v>0.458</v>
      </c>
      <c r="I215" s="26">
        <v>613.0</v>
      </c>
      <c r="J215" s="29">
        <v>2179.0</v>
      </c>
      <c r="K215" s="12">
        <f t="shared" si="1"/>
        <v>0.4982849303</v>
      </c>
      <c r="L215" s="27"/>
    </row>
    <row r="216">
      <c r="A216" s="18" t="s">
        <v>18</v>
      </c>
      <c r="B216" s="3">
        <v>2025.0</v>
      </c>
      <c r="C216" s="28">
        <v>3639.0</v>
      </c>
      <c r="D216" s="30">
        <v>1425.0</v>
      </c>
      <c r="E216" s="29">
        <v>1269.0</v>
      </c>
      <c r="F216" s="33">
        <v>16.0</v>
      </c>
      <c r="G216" s="30">
        <v>133.0</v>
      </c>
      <c r="H216" s="31">
        <v>0.406</v>
      </c>
      <c r="I216" s="26">
        <v>151.0</v>
      </c>
      <c r="J216" s="29">
        <v>2090.0</v>
      </c>
      <c r="K216" s="12">
        <f t="shared" si="1"/>
        <v>0.5743336081</v>
      </c>
      <c r="L216" s="27"/>
    </row>
    <row r="217">
      <c r="A217" s="18" t="s">
        <v>19</v>
      </c>
      <c r="B217" s="3">
        <v>2025.0</v>
      </c>
      <c r="C217" s="34">
        <v>533.0</v>
      </c>
      <c r="D217" s="30">
        <v>285.0</v>
      </c>
      <c r="E217" s="30">
        <v>103.0</v>
      </c>
      <c r="F217" s="35"/>
      <c r="G217" s="30">
        <v>60.0</v>
      </c>
      <c r="H217" s="31">
        <v>0.367</v>
      </c>
      <c r="I217" s="26">
        <v>49.0</v>
      </c>
      <c r="J217" s="30">
        <v>346.0</v>
      </c>
      <c r="K217" s="12">
        <f t="shared" si="1"/>
        <v>0.6491557223</v>
      </c>
      <c r="L217" s="27"/>
    </row>
    <row r="218">
      <c r="A218" s="18" t="s">
        <v>20</v>
      </c>
      <c r="B218" s="3">
        <v>2025.0</v>
      </c>
      <c r="C218" s="34">
        <v>470.0</v>
      </c>
      <c r="D218" s="30">
        <v>291.0</v>
      </c>
      <c r="E218" s="30">
        <v>67.0</v>
      </c>
      <c r="F218" s="30">
        <v>95.0</v>
      </c>
      <c r="G218" s="30">
        <v>79.0</v>
      </c>
      <c r="H218" s="31">
        <v>0.283</v>
      </c>
      <c r="I218" s="26" t="s">
        <v>32</v>
      </c>
      <c r="J218" s="30">
        <v>358.0</v>
      </c>
      <c r="K218" s="12">
        <f t="shared" si="1"/>
        <v>0.7617021277</v>
      </c>
      <c r="L218" s="27"/>
    </row>
    <row r="219">
      <c r="A219" s="18" t="s">
        <v>21</v>
      </c>
      <c r="B219" s="3">
        <v>2025.0</v>
      </c>
      <c r="C219" s="28">
        <v>15594.0</v>
      </c>
      <c r="D219" s="29">
        <v>6783.0</v>
      </c>
      <c r="E219" s="29">
        <v>5148.0</v>
      </c>
      <c r="F219" s="29">
        <v>816.0</v>
      </c>
      <c r="G219" s="29">
        <v>3591.0</v>
      </c>
      <c r="H219" s="31">
        <v>0.371</v>
      </c>
      <c r="I219" s="26" t="s">
        <v>13</v>
      </c>
      <c r="J219" s="29">
        <v>6699.0</v>
      </c>
      <c r="K219" s="12">
        <f t="shared" si="1"/>
        <v>0.4295883032</v>
      </c>
      <c r="L219" s="27"/>
    </row>
    <row r="220">
      <c r="A220" s="18" t="s">
        <v>22</v>
      </c>
      <c r="B220" s="3">
        <v>2025.0</v>
      </c>
      <c r="C220" s="28">
        <v>10989.0</v>
      </c>
      <c r="D220" s="29">
        <v>6751.0</v>
      </c>
      <c r="E220" s="29">
        <v>2065.0</v>
      </c>
      <c r="F220" s="30">
        <v>833.0</v>
      </c>
      <c r="G220" s="29">
        <v>1093.0</v>
      </c>
      <c r="H220" s="31">
        <v>0.446</v>
      </c>
      <c r="I220" s="32">
        <v>4402.0</v>
      </c>
      <c r="J220" s="29">
        <v>4495.0</v>
      </c>
      <c r="K220" s="12">
        <f t="shared" si="1"/>
        <v>0.409045409</v>
      </c>
      <c r="L220" s="27"/>
    </row>
    <row r="221">
      <c r="A221" s="18" t="s">
        <v>23</v>
      </c>
      <c r="B221" s="3">
        <v>2025.0</v>
      </c>
      <c r="C221" s="34">
        <v>922.0</v>
      </c>
      <c r="D221" s="30">
        <v>333.0</v>
      </c>
      <c r="E221" s="30">
        <v>269.0</v>
      </c>
      <c r="F221" s="30">
        <v>169.0</v>
      </c>
      <c r="G221" s="30">
        <v>122.0</v>
      </c>
      <c r="H221" s="31">
        <v>0.571</v>
      </c>
      <c r="I221" s="26">
        <v>83.0</v>
      </c>
      <c r="J221" s="30">
        <v>702.0</v>
      </c>
      <c r="K221" s="12">
        <f t="shared" si="1"/>
        <v>0.7613882863</v>
      </c>
      <c r="L221" s="27"/>
    </row>
    <row r="222">
      <c r="A222" s="18" t="s">
        <v>24</v>
      </c>
      <c r="B222" s="3">
        <v>2025.0</v>
      </c>
      <c r="C222" s="28">
        <v>3410.0</v>
      </c>
      <c r="D222" s="30">
        <v>1228.0</v>
      </c>
      <c r="E222" s="29">
        <v>1395.0</v>
      </c>
      <c r="F222" s="30">
        <v>529.0</v>
      </c>
      <c r="G222" s="30">
        <v>802.0</v>
      </c>
      <c r="H222" s="31">
        <v>0.477</v>
      </c>
      <c r="I222" s="26" t="s">
        <v>13</v>
      </c>
      <c r="J222" s="29">
        <v>1951.0</v>
      </c>
      <c r="K222" s="12">
        <f t="shared" si="1"/>
        <v>0.5721407625</v>
      </c>
      <c r="L222" s="27"/>
    </row>
    <row r="223">
      <c r="A223" s="18" t="s">
        <v>25</v>
      </c>
      <c r="B223" s="3">
        <v>2025.0</v>
      </c>
      <c r="C223" s="28">
        <v>1269.0</v>
      </c>
      <c r="D223" s="30">
        <v>640.0</v>
      </c>
      <c r="E223" s="30">
        <v>244.0</v>
      </c>
      <c r="F223" s="30">
        <v>101.0</v>
      </c>
      <c r="G223" s="30">
        <v>237.0</v>
      </c>
      <c r="H223" s="31">
        <v>0.599</v>
      </c>
      <c r="I223" s="26">
        <v>215.0</v>
      </c>
      <c r="J223" s="29">
        <v>1197.0</v>
      </c>
      <c r="K223" s="12">
        <f t="shared" si="1"/>
        <v>0.9432624113</v>
      </c>
      <c r="L223" s="27"/>
    </row>
    <row r="224">
      <c r="A224" s="18" t="s">
        <v>26</v>
      </c>
      <c r="B224" s="3">
        <v>2025.0</v>
      </c>
      <c r="C224" s="28">
        <v>16806.0</v>
      </c>
      <c r="D224" s="29">
        <v>6755.0</v>
      </c>
      <c r="E224" s="29">
        <v>7391.0</v>
      </c>
      <c r="F224" s="29">
        <v>2286.0</v>
      </c>
      <c r="G224" s="29">
        <v>2538.0</v>
      </c>
      <c r="H224" s="31">
        <v>0.424</v>
      </c>
      <c r="I224" s="26" t="s">
        <v>13</v>
      </c>
      <c r="J224" s="29">
        <v>6781.0</v>
      </c>
      <c r="K224" s="12">
        <f t="shared" si="1"/>
        <v>0.4034868499</v>
      </c>
      <c r="L224" s="27"/>
    </row>
    <row r="225">
      <c r="A225" s="18" t="s">
        <v>27</v>
      </c>
      <c r="B225" s="3">
        <v>2025.0</v>
      </c>
      <c r="C225" s="28">
        <v>11849.0</v>
      </c>
      <c r="D225" s="29">
        <v>3372.0</v>
      </c>
      <c r="E225" s="29">
        <v>5122.0</v>
      </c>
      <c r="F225" s="29">
        <v>945.0</v>
      </c>
      <c r="G225" s="29">
        <v>1729.0</v>
      </c>
      <c r="H225" s="31">
        <v>0.586</v>
      </c>
      <c r="I225" s="32">
        <v>7292.0</v>
      </c>
      <c r="J225" s="29">
        <v>3837.0</v>
      </c>
      <c r="K225" s="12">
        <f t="shared" si="1"/>
        <v>0.3238247953</v>
      </c>
      <c r="L225" s="27"/>
    </row>
    <row r="226">
      <c r="A226" s="18" t="s">
        <v>28</v>
      </c>
      <c r="B226" s="3">
        <v>2025.0</v>
      </c>
      <c r="C226" s="28">
        <v>6083.0</v>
      </c>
      <c r="D226" s="30">
        <v>2653.0</v>
      </c>
      <c r="E226" s="29">
        <v>2072.0</v>
      </c>
      <c r="F226" s="29">
        <v>1518.0</v>
      </c>
      <c r="G226" s="30">
        <v>679.0</v>
      </c>
      <c r="H226" s="31">
        <v>0.51</v>
      </c>
      <c r="I226" s="26">
        <v>101.0</v>
      </c>
      <c r="J226" s="29">
        <v>1923.0</v>
      </c>
      <c r="K226" s="12">
        <f t="shared" si="1"/>
        <v>0.3161269111</v>
      </c>
      <c r="L226" s="27"/>
    </row>
    <row r="227">
      <c r="A227" s="18" t="s">
        <v>29</v>
      </c>
      <c r="B227" s="3">
        <v>2025.0</v>
      </c>
      <c r="C227" s="28">
        <v>8571.0</v>
      </c>
      <c r="D227" s="29">
        <v>4853.0</v>
      </c>
      <c r="E227" s="29">
        <v>1308.0</v>
      </c>
      <c r="F227" s="29">
        <v>1305.0</v>
      </c>
      <c r="G227" s="29">
        <v>1350.0</v>
      </c>
      <c r="H227" s="31">
        <v>0.411</v>
      </c>
      <c r="I227" s="26">
        <v>960.0</v>
      </c>
      <c r="J227" s="29">
        <v>4516.0</v>
      </c>
      <c r="K227" s="12">
        <f t="shared" si="1"/>
        <v>0.5268930113</v>
      </c>
      <c r="L227" s="27"/>
    </row>
    <row r="228">
      <c r="A228" s="18" t="s">
        <v>30</v>
      </c>
      <c r="B228" s="3">
        <v>2025.0</v>
      </c>
      <c r="C228" s="28">
        <v>4636.0</v>
      </c>
      <c r="D228" s="29">
        <v>2114.0</v>
      </c>
      <c r="E228" s="29">
        <v>1648.0</v>
      </c>
      <c r="F228" s="30">
        <v>413.0</v>
      </c>
      <c r="G228" s="30">
        <v>651.0</v>
      </c>
      <c r="H228" s="31">
        <v>0.514</v>
      </c>
      <c r="I228" s="32">
        <v>2000.0</v>
      </c>
      <c r="J228" s="29">
        <v>2114.0</v>
      </c>
      <c r="K228" s="12">
        <f t="shared" si="1"/>
        <v>0.4559965487</v>
      </c>
      <c r="L228" s="27"/>
    </row>
    <row r="229">
      <c r="A229" s="18" t="s">
        <v>31</v>
      </c>
      <c r="B229" s="3">
        <v>2025.0</v>
      </c>
      <c r="C229" s="28">
        <v>8338.0</v>
      </c>
      <c r="D229" s="29">
        <v>4276.0</v>
      </c>
      <c r="E229" s="29">
        <v>115.0</v>
      </c>
      <c r="F229" s="29">
        <v>1196.0</v>
      </c>
      <c r="G229" s="30">
        <v>758.0</v>
      </c>
      <c r="H229" s="31">
        <v>0.554</v>
      </c>
      <c r="I229" s="32">
        <v>2941.0</v>
      </c>
      <c r="J229" s="29">
        <v>3029.0</v>
      </c>
      <c r="K229" s="12">
        <f t="shared" si="1"/>
        <v>0.3632765651</v>
      </c>
      <c r="L229" s="27"/>
    </row>
    <row r="230">
      <c r="A230" s="18" t="s">
        <v>33</v>
      </c>
      <c r="B230" s="3">
        <v>2025.0</v>
      </c>
      <c r="C230" s="28">
        <v>3718.0</v>
      </c>
      <c r="D230" s="30">
        <v>1294.0</v>
      </c>
      <c r="E230" s="29">
        <v>1124.0</v>
      </c>
      <c r="F230" s="30">
        <v>126.0</v>
      </c>
      <c r="G230" s="30">
        <v>265.0</v>
      </c>
      <c r="H230" s="31">
        <v>0.352</v>
      </c>
      <c r="I230" s="26">
        <v>485.0</v>
      </c>
      <c r="J230" s="29">
        <v>2270.0</v>
      </c>
      <c r="K230" s="12">
        <f t="shared" si="1"/>
        <v>0.6105433029</v>
      </c>
      <c r="L230" s="27"/>
    </row>
    <row r="231">
      <c r="A231" s="18" t="s">
        <v>34</v>
      </c>
      <c r="B231" s="3">
        <v>2025.0</v>
      </c>
      <c r="C231" s="28">
        <v>2137.0</v>
      </c>
      <c r="D231" s="30">
        <v>1196.0</v>
      </c>
      <c r="E231" s="30">
        <v>565.0</v>
      </c>
      <c r="F231" s="30">
        <v>377.0</v>
      </c>
      <c r="G231" s="30">
        <v>446.0</v>
      </c>
      <c r="H231" s="31">
        <v>0.459</v>
      </c>
      <c r="I231" s="26" t="s">
        <v>13</v>
      </c>
      <c r="J231" s="29">
        <v>1557.0</v>
      </c>
      <c r="K231" s="12">
        <f t="shared" si="1"/>
        <v>0.7285914834</v>
      </c>
      <c r="L231" s="27"/>
    </row>
    <row r="232">
      <c r="A232" s="18" t="s">
        <v>35</v>
      </c>
      <c r="B232" s="3">
        <v>2025.0</v>
      </c>
      <c r="C232" s="28">
        <v>9605.0</v>
      </c>
      <c r="D232" s="29">
        <v>2470.0</v>
      </c>
      <c r="E232" s="29">
        <v>4709.0</v>
      </c>
      <c r="F232" s="29">
        <v>1582.0</v>
      </c>
      <c r="G232" s="29">
        <v>1232.0</v>
      </c>
      <c r="H232" s="31">
        <v>0.436</v>
      </c>
      <c r="I232" s="32">
        <v>1290.0</v>
      </c>
      <c r="J232" s="29">
        <v>3718.0</v>
      </c>
      <c r="K232" s="12">
        <f t="shared" si="1"/>
        <v>0.3870900573</v>
      </c>
      <c r="L232" s="27"/>
    </row>
    <row r="233">
      <c r="A233" s="18" t="s">
        <v>36</v>
      </c>
      <c r="B233" s="3">
        <v>2025.0</v>
      </c>
      <c r="C233" s="28">
        <v>5591.0</v>
      </c>
      <c r="D233" s="29">
        <v>1460.0</v>
      </c>
      <c r="E233" s="29">
        <v>1926.0</v>
      </c>
      <c r="F233" s="29">
        <v>774.0</v>
      </c>
      <c r="G233" s="30">
        <v>586.0</v>
      </c>
      <c r="H233" s="31">
        <v>0.543</v>
      </c>
      <c r="I233" s="26">
        <v>64.0</v>
      </c>
      <c r="J233" s="29">
        <v>3186.0</v>
      </c>
      <c r="K233" s="12">
        <f t="shared" si="1"/>
        <v>0.5698443928</v>
      </c>
      <c r="L233" s="27"/>
    </row>
    <row r="234">
      <c r="A234" s="18" t="s">
        <v>37</v>
      </c>
      <c r="B234" s="3">
        <v>2025.0</v>
      </c>
      <c r="C234" s="28">
        <v>12774.0</v>
      </c>
      <c r="D234" s="29">
        <v>2755.0</v>
      </c>
      <c r="E234" s="29">
        <v>5233.0</v>
      </c>
      <c r="F234" s="30">
        <v>369.0</v>
      </c>
      <c r="G234" s="29">
        <v>1061.0</v>
      </c>
      <c r="H234" s="31">
        <v>0.569</v>
      </c>
      <c r="I234" s="26">
        <v>131.0</v>
      </c>
      <c r="J234" s="29">
        <v>5047.0</v>
      </c>
      <c r="K234" s="12">
        <f t="shared" si="1"/>
        <v>0.3950994207</v>
      </c>
      <c r="L234" s="27"/>
    </row>
    <row r="235">
      <c r="A235" s="18" t="s">
        <v>38</v>
      </c>
      <c r="B235" s="3">
        <v>2025.0</v>
      </c>
      <c r="C235" s="28">
        <v>3832.0</v>
      </c>
      <c r="D235" s="29">
        <v>1478.0</v>
      </c>
      <c r="E235" s="29">
        <v>1462.0</v>
      </c>
      <c r="F235" s="30">
        <v>477.0</v>
      </c>
      <c r="G235" s="30">
        <v>583.0</v>
      </c>
      <c r="H235" s="31">
        <v>0.483</v>
      </c>
      <c r="I235" s="26" t="s">
        <v>32</v>
      </c>
      <c r="J235" s="29">
        <v>1699.0</v>
      </c>
      <c r="K235" s="12">
        <f t="shared" si="1"/>
        <v>0.4433716075</v>
      </c>
      <c r="L235" s="27"/>
    </row>
    <row r="236">
      <c r="A236" s="18" t="s">
        <v>39</v>
      </c>
      <c r="B236" s="3">
        <v>2025.0</v>
      </c>
      <c r="C236" s="28">
        <v>2028.0</v>
      </c>
      <c r="D236" s="30">
        <v>1332.0</v>
      </c>
      <c r="E236" s="30">
        <v>120.0</v>
      </c>
      <c r="F236" s="30">
        <v>196.0</v>
      </c>
      <c r="G236" s="30">
        <v>207.0</v>
      </c>
      <c r="H236" s="31">
        <v>0.578</v>
      </c>
      <c r="I236" s="26">
        <v>225.0</v>
      </c>
      <c r="J236" s="29">
        <v>1054.0</v>
      </c>
      <c r="K236" s="12">
        <f t="shared" si="1"/>
        <v>0.5197238659</v>
      </c>
      <c r="L236" s="27"/>
    </row>
    <row r="237">
      <c r="A237" s="18" t="s">
        <v>40</v>
      </c>
      <c r="B237" s="3">
        <v>2025.0</v>
      </c>
      <c r="C237" s="28">
        <v>11559.0</v>
      </c>
      <c r="D237" s="29">
        <v>5954.0</v>
      </c>
      <c r="E237" s="29">
        <v>2731.0</v>
      </c>
      <c r="F237" s="29">
        <v>1131.0</v>
      </c>
      <c r="G237" s="29">
        <v>1063.0</v>
      </c>
      <c r="H237" s="31">
        <v>0.252</v>
      </c>
      <c r="I237" s="26">
        <v>196.0</v>
      </c>
      <c r="J237" s="29">
        <v>5820.0</v>
      </c>
      <c r="K237" s="12">
        <f t="shared" si="1"/>
        <v>0.5035037633</v>
      </c>
      <c r="L237" s="27"/>
    </row>
    <row r="238">
      <c r="A238" s="18" t="s">
        <v>41</v>
      </c>
      <c r="B238" s="3">
        <v>2025.0</v>
      </c>
      <c r="C238" s="28">
        <v>1157.0</v>
      </c>
      <c r="D238" s="30">
        <v>621.0</v>
      </c>
      <c r="E238" s="30">
        <v>263.0</v>
      </c>
      <c r="F238" s="30">
        <v>173.0</v>
      </c>
      <c r="G238" s="30">
        <v>255.0</v>
      </c>
      <c r="H238" s="31">
        <v>0.412</v>
      </c>
      <c r="I238" s="26">
        <v>77.0</v>
      </c>
      <c r="J238" s="30">
        <v>724.0</v>
      </c>
      <c r="K238" s="12">
        <f t="shared" si="1"/>
        <v>0.6257562662</v>
      </c>
      <c r="L238" s="27"/>
    </row>
    <row r="239">
      <c r="A239" s="18" t="s">
        <v>42</v>
      </c>
      <c r="B239" s="3">
        <v>2025.0</v>
      </c>
      <c r="C239" s="28">
        <v>3604.0</v>
      </c>
      <c r="D239" s="29">
        <v>1685.0</v>
      </c>
      <c r="E239" s="29">
        <v>1066.0</v>
      </c>
      <c r="F239" s="30">
        <v>261.0</v>
      </c>
      <c r="G239" s="30">
        <v>476.0</v>
      </c>
      <c r="H239" s="31">
        <v>0.542</v>
      </c>
      <c r="I239" s="26">
        <v>384.0</v>
      </c>
      <c r="J239" s="29">
        <v>2480.0</v>
      </c>
      <c r="K239" s="12">
        <f t="shared" si="1"/>
        <v>0.6881243063</v>
      </c>
      <c r="L239" s="27"/>
    </row>
    <row r="240">
      <c r="A240" s="18" t="s">
        <v>43</v>
      </c>
      <c r="B240" s="3">
        <v>2025.0</v>
      </c>
      <c r="C240" s="28">
        <v>1062.0</v>
      </c>
      <c r="D240" s="30">
        <v>496.0</v>
      </c>
      <c r="E240" s="30">
        <v>223.0</v>
      </c>
      <c r="F240" s="30">
        <v>26.0</v>
      </c>
      <c r="G240" s="30">
        <v>186.0</v>
      </c>
      <c r="H240" s="31">
        <v>0.533</v>
      </c>
      <c r="I240" s="26">
        <v>91.0</v>
      </c>
      <c r="J240" s="30">
        <v>671.0</v>
      </c>
      <c r="K240" s="12">
        <f t="shared" si="1"/>
        <v>0.631826742</v>
      </c>
      <c r="L240" s="27"/>
    </row>
    <row r="241">
      <c r="A241" s="18" t="s">
        <v>44</v>
      </c>
      <c r="B241" s="3">
        <v>2025.0</v>
      </c>
      <c r="C241" s="28">
        <v>2866.0</v>
      </c>
      <c r="D241" s="29">
        <v>1467.0</v>
      </c>
      <c r="E241" s="29">
        <v>1134.0</v>
      </c>
      <c r="F241" s="30">
        <v>313.0</v>
      </c>
      <c r="G241" s="30">
        <v>327.0</v>
      </c>
      <c r="H241" s="31">
        <v>0.501</v>
      </c>
      <c r="I241" s="26">
        <v>569.0</v>
      </c>
      <c r="J241" s="29">
        <v>2056.0</v>
      </c>
      <c r="K241" s="12">
        <f t="shared" si="1"/>
        <v>0.717376134</v>
      </c>
      <c r="L241" s="27"/>
    </row>
    <row r="242">
      <c r="A242" s="18" t="s">
        <v>45</v>
      </c>
      <c r="B242" s="3">
        <v>2025.0</v>
      </c>
      <c r="C242" s="28">
        <v>2365.0</v>
      </c>
      <c r="D242" s="30">
        <v>955.0</v>
      </c>
      <c r="E242" s="30">
        <v>820.0</v>
      </c>
      <c r="F242" s="30">
        <v>336.0</v>
      </c>
      <c r="G242" s="30">
        <v>171.0</v>
      </c>
      <c r="H242" s="31">
        <v>0.577</v>
      </c>
      <c r="I242" s="26">
        <v>147.0</v>
      </c>
      <c r="J242" s="29">
        <v>1059.0</v>
      </c>
      <c r="K242" s="12">
        <f t="shared" si="1"/>
        <v>0.4477801268</v>
      </c>
      <c r="L242" s="27"/>
    </row>
    <row r="243">
      <c r="A243" s="18" t="s">
        <v>46</v>
      </c>
      <c r="B243" s="3">
        <v>2025.0</v>
      </c>
      <c r="C243" s="28">
        <v>4142.0</v>
      </c>
      <c r="D243" s="29">
        <v>1733.0</v>
      </c>
      <c r="E243" s="29">
        <v>1664.0</v>
      </c>
      <c r="F243" s="30">
        <v>327.0</v>
      </c>
      <c r="G243" s="30">
        <v>601.0</v>
      </c>
      <c r="H243" s="31">
        <v>0.589</v>
      </c>
      <c r="I243" s="26">
        <v>895.0</v>
      </c>
      <c r="J243" s="29">
        <v>1209.0</v>
      </c>
      <c r="K243" s="12">
        <f t="shared" si="1"/>
        <v>0.2918879768</v>
      </c>
      <c r="L243" s="27"/>
    </row>
    <row r="244">
      <c r="A244" s="18" t="s">
        <v>47</v>
      </c>
      <c r="B244" s="3">
        <v>2025.0</v>
      </c>
      <c r="C244" s="28">
        <v>14488.0</v>
      </c>
      <c r="D244" s="29">
        <v>5919.0</v>
      </c>
      <c r="E244" s="29">
        <v>4454.0</v>
      </c>
      <c r="F244" s="29">
        <v>1354.0</v>
      </c>
      <c r="G244" s="29">
        <v>1392.0</v>
      </c>
      <c r="H244" s="31">
        <v>0.462</v>
      </c>
      <c r="I244" s="26" t="s">
        <v>13</v>
      </c>
      <c r="J244" s="29">
        <v>9936.0</v>
      </c>
      <c r="K244" s="12">
        <f t="shared" si="1"/>
        <v>0.6858089453</v>
      </c>
      <c r="L244" s="27"/>
    </row>
    <row r="245">
      <c r="A245" s="18" t="s">
        <v>48</v>
      </c>
      <c r="B245" s="3">
        <v>2025.0</v>
      </c>
      <c r="C245" s="28">
        <v>15278.0</v>
      </c>
      <c r="D245" s="29">
        <v>7589.0</v>
      </c>
      <c r="E245" s="29">
        <v>3522.0</v>
      </c>
      <c r="F245" s="29">
        <v>3651.0</v>
      </c>
      <c r="G245" s="29">
        <v>1439.0</v>
      </c>
      <c r="H245" s="31">
        <v>0.421</v>
      </c>
      <c r="I245" s="26">
        <v>55.0</v>
      </c>
      <c r="J245" s="29">
        <v>6976.0</v>
      </c>
      <c r="K245" s="12">
        <f t="shared" si="1"/>
        <v>0.4566042676</v>
      </c>
      <c r="L245" s="27"/>
    </row>
    <row r="246">
      <c r="A246" s="18" t="s">
        <v>49</v>
      </c>
      <c r="B246" s="3">
        <v>2025.0</v>
      </c>
      <c r="C246" s="28">
        <v>6198.0</v>
      </c>
      <c r="D246" s="29">
        <v>3036.0</v>
      </c>
      <c r="E246" s="29">
        <v>1961.0</v>
      </c>
      <c r="F246" s="29">
        <v>1223.0</v>
      </c>
      <c r="G246" s="29">
        <v>1199.0</v>
      </c>
      <c r="H246" s="31">
        <v>0.479</v>
      </c>
      <c r="I246" s="26">
        <v>447.0</v>
      </c>
      <c r="J246" s="29">
        <v>3820.0</v>
      </c>
      <c r="K246" s="12">
        <f t="shared" si="1"/>
        <v>0.6163278477</v>
      </c>
      <c r="L246" s="27"/>
    </row>
    <row r="247">
      <c r="A247" s="18" t="s">
        <v>50</v>
      </c>
      <c r="B247" s="3">
        <v>2025.0</v>
      </c>
      <c r="C247" s="28">
        <v>4619.0</v>
      </c>
      <c r="D247" s="30">
        <v>1870.0</v>
      </c>
      <c r="E247" s="29">
        <v>1666.0</v>
      </c>
      <c r="F247" s="30">
        <v>130.0</v>
      </c>
      <c r="G247" s="30">
        <v>362.0</v>
      </c>
      <c r="H247" s="31">
        <v>0.524</v>
      </c>
      <c r="I247" s="26" t="s">
        <v>32</v>
      </c>
      <c r="J247" s="29">
        <v>2865.0</v>
      </c>
      <c r="K247" s="12">
        <f t="shared" si="1"/>
        <v>0.6202641264</v>
      </c>
      <c r="L247" s="27"/>
    </row>
    <row r="248">
      <c r="A248" s="18" t="s">
        <v>51</v>
      </c>
      <c r="B248" s="3">
        <v>2025.0</v>
      </c>
      <c r="C248" s="28">
        <v>11258.0</v>
      </c>
      <c r="D248" s="29">
        <v>4844.0</v>
      </c>
      <c r="E248" s="29">
        <v>2841.0</v>
      </c>
      <c r="F248" s="29">
        <v>1194.0</v>
      </c>
      <c r="G248" s="29">
        <v>1692.0</v>
      </c>
      <c r="H248" s="31">
        <v>0.465</v>
      </c>
      <c r="I248" s="26">
        <v>34.0</v>
      </c>
      <c r="J248" s="29">
        <v>8985.0</v>
      </c>
      <c r="K248" s="12">
        <f t="shared" si="1"/>
        <v>0.7980991295</v>
      </c>
      <c r="L248" s="27"/>
    </row>
    <row r="249">
      <c r="A249" s="18" t="s">
        <v>52</v>
      </c>
      <c r="B249" s="3">
        <v>2025.0</v>
      </c>
      <c r="C249" s="28">
        <v>2716.0</v>
      </c>
      <c r="D249" s="35"/>
      <c r="E249" s="33">
        <v>281.0</v>
      </c>
      <c r="F249" s="30">
        <v>15.0</v>
      </c>
      <c r="G249" s="33">
        <v>45.0</v>
      </c>
      <c r="H249" s="36">
        <v>0.442</v>
      </c>
      <c r="I249" s="32">
        <v>2285.0</v>
      </c>
      <c r="J249" s="35"/>
      <c r="K249" s="12">
        <f t="shared" si="1"/>
        <v>0</v>
      </c>
      <c r="L249" s="27"/>
    </row>
    <row r="250">
      <c r="A250" s="18" t="s">
        <v>54</v>
      </c>
      <c r="B250" s="3">
        <v>2025.0</v>
      </c>
      <c r="C250" s="28">
        <v>1595.0</v>
      </c>
      <c r="D250" s="30">
        <v>407.0</v>
      </c>
      <c r="E250" s="30">
        <v>459.0</v>
      </c>
      <c r="F250" s="30">
        <v>43.0</v>
      </c>
      <c r="G250" s="30">
        <v>107.0</v>
      </c>
      <c r="H250" s="31">
        <v>0.493</v>
      </c>
      <c r="I250" s="26" t="s">
        <v>13</v>
      </c>
      <c r="J250" s="30">
        <v>686.0</v>
      </c>
      <c r="K250" s="12">
        <f t="shared" si="1"/>
        <v>0.4300940439</v>
      </c>
      <c r="L250" s="27"/>
    </row>
    <row r="251">
      <c r="A251" s="18" t="s">
        <v>55</v>
      </c>
      <c r="B251" s="3">
        <v>2025.0</v>
      </c>
      <c r="C251" s="28">
        <v>3330.0</v>
      </c>
      <c r="D251" s="30">
        <v>1759.0</v>
      </c>
      <c r="E251" s="30">
        <v>907.0</v>
      </c>
      <c r="F251" s="30">
        <v>567.0</v>
      </c>
      <c r="G251" s="30">
        <v>521.0</v>
      </c>
      <c r="H251" s="31">
        <v>0.482</v>
      </c>
      <c r="I251" s="26">
        <v>474.0</v>
      </c>
      <c r="J251" s="29">
        <v>2151.0</v>
      </c>
      <c r="K251" s="12">
        <f t="shared" si="1"/>
        <v>0.6459459459</v>
      </c>
      <c r="L251" s="27"/>
    </row>
    <row r="252">
      <c r="A252" s="18" t="s">
        <v>56</v>
      </c>
      <c r="B252" s="3">
        <v>2025.0</v>
      </c>
      <c r="C252" s="28">
        <v>1708.0</v>
      </c>
      <c r="D252" s="30">
        <v>838.0</v>
      </c>
      <c r="E252" s="30">
        <v>541.0</v>
      </c>
      <c r="F252" s="30">
        <v>541.0</v>
      </c>
      <c r="G252" s="30">
        <v>265.0</v>
      </c>
      <c r="H252" s="31">
        <v>0.398</v>
      </c>
      <c r="I252" s="26" t="s">
        <v>13</v>
      </c>
      <c r="J252" s="30">
        <v>805.0</v>
      </c>
      <c r="K252" s="12">
        <f t="shared" si="1"/>
        <v>0.4713114754</v>
      </c>
      <c r="L252" s="27"/>
    </row>
    <row r="253">
      <c r="A253" s="18" t="s">
        <v>57</v>
      </c>
      <c r="B253" s="3">
        <v>2025.0</v>
      </c>
      <c r="C253" s="28">
        <v>9021.0</v>
      </c>
      <c r="D253" s="30">
        <v>1134.0</v>
      </c>
      <c r="E253" s="30">
        <v>437.0</v>
      </c>
      <c r="F253" s="29">
        <v>726.0</v>
      </c>
      <c r="G253" s="29">
        <v>1147.0</v>
      </c>
      <c r="H253" s="31">
        <v>0.412</v>
      </c>
      <c r="I253" s="26" t="s">
        <v>13</v>
      </c>
      <c r="J253" s="29">
        <v>4840.0</v>
      </c>
      <c r="K253" s="12">
        <f t="shared" si="1"/>
        <v>0.536525884</v>
      </c>
      <c r="L253" s="27"/>
    </row>
    <row r="254">
      <c r="A254" s="18" t="s">
        <v>58</v>
      </c>
      <c r="B254" s="3">
        <v>2025.0</v>
      </c>
      <c r="C254" s="28">
        <v>17645.0</v>
      </c>
      <c r="D254" s="29">
        <v>7810.0</v>
      </c>
      <c r="E254" s="29">
        <v>5432.0</v>
      </c>
      <c r="F254" s="29">
        <v>3706.0</v>
      </c>
      <c r="G254" s="29">
        <v>3429.0</v>
      </c>
      <c r="H254" s="31">
        <v>0.42</v>
      </c>
      <c r="I254" s="32">
        <v>15156.0</v>
      </c>
      <c r="J254" s="29">
        <v>6911.0</v>
      </c>
      <c r="K254" s="12">
        <f t="shared" si="1"/>
        <v>0.3916690281</v>
      </c>
      <c r="L254" s="27"/>
    </row>
    <row r="255">
      <c r="A255" s="18" t="s">
        <v>59</v>
      </c>
      <c r="B255" s="3">
        <v>2025.0</v>
      </c>
      <c r="C255" s="28">
        <v>1619.0</v>
      </c>
      <c r="D255" s="30" t="s">
        <v>66</v>
      </c>
      <c r="E255" s="30"/>
      <c r="F255" s="30">
        <v>200.0</v>
      </c>
      <c r="G255" s="30">
        <v>274.0</v>
      </c>
      <c r="H255" s="31">
        <v>0.467</v>
      </c>
      <c r="I255" s="32">
        <v>1266.0</v>
      </c>
      <c r="J255" s="30">
        <v>936.0</v>
      </c>
      <c r="K255" s="12">
        <f t="shared" si="1"/>
        <v>0.578134651</v>
      </c>
      <c r="L255" s="27"/>
    </row>
    <row r="256">
      <c r="A256" s="18" t="s">
        <v>60</v>
      </c>
      <c r="B256" s="3">
        <v>2025.0</v>
      </c>
      <c r="C256" s="28">
        <v>5625.0</v>
      </c>
      <c r="D256" s="29">
        <v>2797.0</v>
      </c>
      <c r="E256" s="29">
        <v>687.0</v>
      </c>
      <c r="F256" s="29">
        <v>1001.0</v>
      </c>
      <c r="G256" s="30">
        <v>606.0</v>
      </c>
      <c r="H256" s="31">
        <v>0.337</v>
      </c>
      <c r="I256" s="26" t="s">
        <v>13</v>
      </c>
      <c r="J256" s="29">
        <v>4506.0</v>
      </c>
      <c r="K256" s="12">
        <f t="shared" si="1"/>
        <v>0.8010666667</v>
      </c>
      <c r="L256" s="27"/>
    </row>
    <row r="257">
      <c r="A257" s="18" t="s">
        <v>61</v>
      </c>
      <c r="B257" s="3">
        <v>2025.0</v>
      </c>
      <c r="C257" s="34">
        <v>839.0</v>
      </c>
      <c r="D257" s="30">
        <v>89.0</v>
      </c>
      <c r="E257" s="30">
        <v>368.0</v>
      </c>
      <c r="F257" s="30">
        <v>172.0</v>
      </c>
      <c r="G257" s="30">
        <v>184.0</v>
      </c>
      <c r="H257" s="31">
        <v>0.413</v>
      </c>
      <c r="I257" s="26" t="s">
        <v>13</v>
      </c>
      <c r="J257" s="30">
        <v>795.0</v>
      </c>
      <c r="K257" s="12">
        <f t="shared" si="1"/>
        <v>0.947556615</v>
      </c>
      <c r="L257" s="27"/>
    </row>
    <row r="258">
      <c r="A258" s="18" t="s">
        <v>62</v>
      </c>
      <c r="B258" s="3">
        <v>2025.0</v>
      </c>
      <c r="C258" s="37">
        <v>5480.0</v>
      </c>
      <c r="D258" s="38">
        <v>1649.0</v>
      </c>
      <c r="E258" s="38">
        <v>2600.0</v>
      </c>
      <c r="F258" s="39" t="s">
        <v>66</v>
      </c>
      <c r="G258" s="39">
        <v>497.0</v>
      </c>
      <c r="H258" s="40">
        <v>0.594</v>
      </c>
      <c r="I258" s="26">
        <v>422.0</v>
      </c>
      <c r="J258" s="29">
        <v>4800.0</v>
      </c>
      <c r="K258" s="12">
        <f t="shared" si="1"/>
        <v>0.8759124088</v>
      </c>
      <c r="L258" s="27"/>
    </row>
    <row r="259">
      <c r="A259" s="18" t="s">
        <v>63</v>
      </c>
      <c r="B259" s="3">
        <v>2025.0</v>
      </c>
      <c r="C259" s="28">
        <v>5746.0</v>
      </c>
      <c r="D259" s="29">
        <v>2575.0</v>
      </c>
      <c r="E259" s="29">
        <v>2280.0</v>
      </c>
      <c r="F259" s="30">
        <v>457.0</v>
      </c>
      <c r="G259" s="30">
        <v>578.0</v>
      </c>
      <c r="H259" s="31">
        <v>0.512</v>
      </c>
      <c r="I259" s="26" t="s">
        <v>13</v>
      </c>
      <c r="J259" s="29">
        <v>2866.0</v>
      </c>
      <c r="K259" s="12">
        <f t="shared" si="1"/>
        <v>0.4987817612</v>
      </c>
      <c r="L259" s="27"/>
    </row>
    <row r="260">
      <c r="A260" s="18" t="s">
        <v>64</v>
      </c>
      <c r="B260" s="3">
        <v>2025.0</v>
      </c>
      <c r="C260" s="28">
        <v>6907.0</v>
      </c>
      <c r="D260" s="30">
        <v>1773.0</v>
      </c>
      <c r="E260" s="29">
        <v>3111.0</v>
      </c>
      <c r="F260" s="29">
        <v>1038.0</v>
      </c>
      <c r="G260" s="29">
        <v>1044.0</v>
      </c>
      <c r="H260" s="31">
        <v>0.511</v>
      </c>
      <c r="I260" s="26" t="s">
        <v>32</v>
      </c>
      <c r="J260" s="29">
        <v>3135.0</v>
      </c>
      <c r="K260" s="12">
        <f t="shared" si="1"/>
        <v>0.4538873606</v>
      </c>
      <c r="L260" s="27"/>
    </row>
    <row r="261">
      <c r="A261" s="18" t="s">
        <v>65</v>
      </c>
      <c r="B261" s="3">
        <v>2025.0</v>
      </c>
      <c r="C261" s="34">
        <v>737.0</v>
      </c>
      <c r="D261" s="30">
        <v>172.0</v>
      </c>
      <c r="E261" s="30">
        <v>133.0</v>
      </c>
      <c r="F261" s="35"/>
      <c r="G261" s="30">
        <v>71.0</v>
      </c>
      <c r="H261" s="31">
        <v>0.771</v>
      </c>
      <c r="I261" s="41" t="s">
        <v>13</v>
      </c>
      <c r="J261" s="30">
        <v>502.0</v>
      </c>
      <c r="K261" s="12">
        <f t="shared" si="1"/>
        <v>0.6811397558</v>
      </c>
      <c r="L261" s="42"/>
    </row>
    <row r="262">
      <c r="A262" s="43"/>
      <c r="I262" s="20"/>
    </row>
    <row r="263">
      <c r="A263" s="43"/>
      <c r="I263" s="20"/>
    </row>
    <row r="264">
      <c r="A264" s="43"/>
      <c r="I264" s="20"/>
    </row>
    <row r="265">
      <c r="A265" s="43"/>
      <c r="I265" s="20"/>
    </row>
    <row r="266">
      <c r="A266" s="43"/>
      <c r="I266" s="20"/>
    </row>
    <row r="267">
      <c r="A267" s="43"/>
      <c r="I267" s="20"/>
    </row>
    <row r="268">
      <c r="A268" s="43"/>
      <c r="I268" s="20"/>
    </row>
    <row r="269">
      <c r="A269" s="43"/>
      <c r="I269" s="20"/>
    </row>
    <row r="270">
      <c r="A270" s="43"/>
      <c r="I270" s="20"/>
    </row>
    <row r="271">
      <c r="A271" s="43"/>
      <c r="I271" s="20"/>
    </row>
    <row r="272">
      <c r="A272" s="43"/>
      <c r="I272" s="20"/>
    </row>
    <row r="273">
      <c r="A273" s="43"/>
      <c r="I273" s="20"/>
    </row>
    <row r="274">
      <c r="A274" s="43"/>
      <c r="I274" s="20"/>
    </row>
    <row r="275">
      <c r="A275" s="43"/>
      <c r="I275" s="20"/>
    </row>
    <row r="276">
      <c r="A276" s="43"/>
      <c r="I276" s="20"/>
    </row>
    <row r="277">
      <c r="A277" s="43"/>
      <c r="I277" s="20"/>
    </row>
    <row r="278">
      <c r="A278" s="43"/>
      <c r="I278" s="20"/>
    </row>
    <row r="279">
      <c r="A279" s="43"/>
      <c r="I279" s="20"/>
    </row>
    <row r="280">
      <c r="A280" s="43"/>
      <c r="I280" s="20"/>
    </row>
    <row r="281">
      <c r="A281" s="43"/>
      <c r="I281" s="20"/>
    </row>
    <row r="282">
      <c r="A282" s="43"/>
      <c r="I282" s="20"/>
    </row>
    <row r="283">
      <c r="A283" s="43"/>
      <c r="I283" s="20"/>
    </row>
    <row r="284">
      <c r="A284" s="43"/>
      <c r="I284" s="20"/>
    </row>
    <row r="285">
      <c r="A285" s="43"/>
      <c r="I285" s="20"/>
    </row>
    <row r="286">
      <c r="A286" s="43"/>
      <c r="I286" s="20"/>
    </row>
    <row r="287">
      <c r="A287" s="43"/>
      <c r="I287" s="20"/>
    </row>
    <row r="288">
      <c r="A288" s="43"/>
      <c r="I288" s="20"/>
    </row>
    <row r="289">
      <c r="A289" s="43"/>
      <c r="I289" s="20"/>
    </row>
    <row r="290">
      <c r="A290" s="43"/>
      <c r="I290" s="20"/>
    </row>
    <row r="291">
      <c r="A291" s="43"/>
      <c r="I291" s="20"/>
    </row>
    <row r="292">
      <c r="A292" s="43"/>
      <c r="I292" s="20"/>
    </row>
    <row r="293">
      <c r="A293" s="43"/>
      <c r="I293" s="20"/>
    </row>
    <row r="294">
      <c r="A294" s="43"/>
      <c r="I294" s="20"/>
    </row>
    <row r="295">
      <c r="A295" s="43"/>
      <c r="I295" s="20"/>
    </row>
    <row r="296">
      <c r="A296" s="43"/>
      <c r="I296" s="20"/>
    </row>
    <row r="297">
      <c r="A297" s="43"/>
      <c r="I297" s="20"/>
    </row>
    <row r="298">
      <c r="A298" s="43"/>
      <c r="I298" s="20"/>
    </row>
    <row r="299">
      <c r="A299" s="43"/>
      <c r="I299" s="20"/>
    </row>
    <row r="300">
      <c r="A300" s="43"/>
      <c r="I300" s="20"/>
    </row>
    <row r="301">
      <c r="A301" s="43"/>
      <c r="I301" s="20"/>
    </row>
    <row r="302">
      <c r="A302" s="43"/>
      <c r="I302" s="20"/>
    </row>
    <row r="303">
      <c r="A303" s="43"/>
      <c r="I303" s="20"/>
    </row>
    <row r="304">
      <c r="A304" s="43"/>
      <c r="I304" s="20"/>
    </row>
    <row r="305">
      <c r="A305" s="43"/>
      <c r="I305" s="20"/>
    </row>
    <row r="306">
      <c r="A306" s="43"/>
      <c r="I306" s="20"/>
    </row>
    <row r="307">
      <c r="A307" s="43"/>
      <c r="I307" s="20"/>
    </row>
    <row r="308">
      <c r="A308" s="43"/>
      <c r="I308" s="20"/>
    </row>
    <row r="309">
      <c r="A309" s="43"/>
      <c r="I309" s="20"/>
    </row>
    <row r="310">
      <c r="A310" s="43"/>
      <c r="I310" s="20"/>
    </row>
    <row r="311">
      <c r="A311" s="43"/>
      <c r="I311" s="20"/>
    </row>
    <row r="312">
      <c r="A312" s="43"/>
      <c r="I312" s="20"/>
    </row>
    <row r="313">
      <c r="A313" s="43"/>
      <c r="I313" s="20"/>
    </row>
    <row r="314">
      <c r="A314" s="43"/>
      <c r="I314" s="20"/>
    </row>
    <row r="315">
      <c r="A315" s="43"/>
      <c r="I315" s="20"/>
    </row>
    <row r="316">
      <c r="A316" s="43"/>
      <c r="I316" s="20"/>
    </row>
    <row r="317">
      <c r="A317" s="43"/>
      <c r="I317" s="20"/>
    </row>
    <row r="318">
      <c r="A318" s="43"/>
      <c r="I318" s="20"/>
    </row>
    <row r="319">
      <c r="A319" s="43"/>
      <c r="I319" s="20"/>
    </row>
    <row r="320">
      <c r="A320" s="43"/>
      <c r="I320" s="20"/>
    </row>
    <row r="321">
      <c r="A321" s="43"/>
      <c r="I321" s="20"/>
    </row>
    <row r="322">
      <c r="A322" s="43"/>
      <c r="I322" s="20"/>
    </row>
    <row r="323">
      <c r="A323" s="43"/>
      <c r="I323" s="20"/>
    </row>
    <row r="324">
      <c r="A324" s="43"/>
      <c r="I324" s="20"/>
    </row>
    <row r="325">
      <c r="A325" s="43"/>
      <c r="I325" s="20"/>
    </row>
    <row r="326">
      <c r="A326" s="43"/>
      <c r="I326" s="20"/>
    </row>
    <row r="327">
      <c r="A327" s="43"/>
      <c r="I327" s="20"/>
    </row>
    <row r="328">
      <c r="A328" s="43"/>
      <c r="I328" s="20"/>
    </row>
    <row r="329">
      <c r="A329" s="43"/>
      <c r="I329" s="20"/>
    </row>
    <row r="330">
      <c r="A330" s="43"/>
      <c r="I330" s="20"/>
    </row>
    <row r="331">
      <c r="A331" s="43"/>
      <c r="I331" s="20"/>
    </row>
    <row r="332">
      <c r="A332" s="43"/>
      <c r="I332" s="20"/>
    </row>
    <row r="333">
      <c r="A333" s="43"/>
      <c r="I333" s="20"/>
    </row>
    <row r="334">
      <c r="A334" s="43"/>
      <c r="I334" s="20"/>
    </row>
    <row r="335">
      <c r="A335" s="43"/>
      <c r="I335" s="20"/>
    </row>
    <row r="336">
      <c r="A336" s="43"/>
      <c r="I336" s="20"/>
    </row>
    <row r="337">
      <c r="A337" s="43"/>
      <c r="I337" s="20"/>
    </row>
    <row r="338">
      <c r="A338" s="43"/>
      <c r="I338" s="20"/>
    </row>
    <row r="339">
      <c r="A339" s="43"/>
      <c r="I339" s="20"/>
    </row>
    <row r="340">
      <c r="A340" s="43"/>
      <c r="I340" s="20"/>
    </row>
    <row r="341">
      <c r="A341" s="43"/>
      <c r="I341" s="20"/>
    </row>
    <row r="342">
      <c r="A342" s="43"/>
      <c r="I342" s="20"/>
    </row>
    <row r="343">
      <c r="A343" s="43"/>
      <c r="I343" s="20"/>
    </row>
    <row r="344">
      <c r="A344" s="43"/>
      <c r="I344" s="20"/>
    </row>
    <row r="345">
      <c r="A345" s="43"/>
      <c r="I345" s="20"/>
    </row>
    <row r="346">
      <c r="A346" s="43"/>
      <c r="I346" s="20"/>
    </row>
    <row r="347">
      <c r="A347" s="43"/>
      <c r="I347" s="20"/>
    </row>
    <row r="348">
      <c r="A348" s="43"/>
      <c r="I348" s="20"/>
    </row>
    <row r="349">
      <c r="A349" s="43"/>
      <c r="I349" s="20"/>
    </row>
    <row r="350">
      <c r="A350" s="43"/>
      <c r="I350" s="20"/>
    </row>
    <row r="351">
      <c r="A351" s="43"/>
      <c r="I351" s="20"/>
    </row>
    <row r="352">
      <c r="A352" s="43"/>
      <c r="I352" s="20"/>
    </row>
    <row r="353">
      <c r="A353" s="43"/>
      <c r="I353" s="20"/>
    </row>
    <row r="354">
      <c r="A354" s="43"/>
      <c r="I354" s="20"/>
    </row>
    <row r="355">
      <c r="A355" s="43"/>
      <c r="I355" s="20"/>
    </row>
    <row r="356">
      <c r="A356" s="43"/>
      <c r="I356" s="20"/>
    </row>
    <row r="357">
      <c r="A357" s="43"/>
      <c r="I357" s="20"/>
    </row>
    <row r="358">
      <c r="A358" s="43"/>
      <c r="I358" s="20"/>
    </row>
    <row r="359">
      <c r="A359" s="43"/>
      <c r="I359" s="20"/>
    </row>
    <row r="360">
      <c r="A360" s="43"/>
      <c r="I360" s="20"/>
    </row>
    <row r="361">
      <c r="A361" s="43"/>
      <c r="I361" s="20"/>
    </row>
    <row r="362">
      <c r="A362" s="43"/>
      <c r="I362" s="20"/>
    </row>
    <row r="363">
      <c r="A363" s="43"/>
      <c r="I363" s="20"/>
    </row>
    <row r="364">
      <c r="A364" s="43"/>
      <c r="I364" s="20"/>
    </row>
    <row r="365">
      <c r="A365" s="43"/>
      <c r="I365" s="20"/>
    </row>
    <row r="366">
      <c r="A366" s="43"/>
      <c r="I366" s="20"/>
    </row>
    <row r="367">
      <c r="A367" s="43"/>
      <c r="I367" s="20"/>
    </row>
    <row r="368">
      <c r="A368" s="43"/>
      <c r="I368" s="20"/>
    </row>
    <row r="369">
      <c r="A369" s="43"/>
      <c r="I369" s="20"/>
    </row>
    <row r="370">
      <c r="A370" s="43"/>
      <c r="I370" s="20"/>
    </row>
    <row r="371">
      <c r="A371" s="43"/>
      <c r="I371" s="20"/>
    </row>
    <row r="372">
      <c r="A372" s="43"/>
      <c r="I372" s="20"/>
    </row>
    <row r="373">
      <c r="A373" s="43"/>
      <c r="I373" s="20"/>
    </row>
    <row r="374">
      <c r="A374" s="43"/>
      <c r="I374" s="20"/>
    </row>
    <row r="375">
      <c r="A375" s="43"/>
      <c r="I375" s="20"/>
    </row>
    <row r="376">
      <c r="A376" s="43"/>
      <c r="I376" s="20"/>
    </row>
    <row r="377">
      <c r="A377" s="43"/>
      <c r="I377" s="20"/>
    </row>
    <row r="378">
      <c r="A378" s="43"/>
      <c r="I378" s="20"/>
    </row>
    <row r="379">
      <c r="A379" s="43"/>
      <c r="I379" s="20"/>
    </row>
    <row r="380">
      <c r="A380" s="43"/>
      <c r="I380" s="20"/>
    </row>
    <row r="381">
      <c r="A381" s="43"/>
      <c r="I381" s="20"/>
    </row>
    <row r="382">
      <c r="A382" s="43"/>
      <c r="I382" s="20"/>
    </row>
    <row r="383">
      <c r="A383" s="43"/>
      <c r="I383" s="20"/>
    </row>
    <row r="384">
      <c r="A384" s="43"/>
      <c r="I384" s="20"/>
    </row>
    <row r="385">
      <c r="A385" s="43"/>
      <c r="I385" s="20"/>
    </row>
    <row r="386">
      <c r="A386" s="43"/>
      <c r="I386" s="20"/>
    </row>
    <row r="387">
      <c r="A387" s="43"/>
      <c r="I387" s="20"/>
    </row>
    <row r="388">
      <c r="A388" s="43"/>
      <c r="I388" s="20"/>
    </row>
    <row r="389">
      <c r="A389" s="43"/>
      <c r="I389" s="20"/>
    </row>
    <row r="390">
      <c r="A390" s="43"/>
      <c r="I390" s="20"/>
    </row>
    <row r="391">
      <c r="A391" s="43"/>
      <c r="I391" s="20"/>
    </row>
    <row r="392">
      <c r="A392" s="43"/>
      <c r="I392" s="20"/>
    </row>
    <row r="393">
      <c r="A393" s="43"/>
      <c r="I393" s="20"/>
    </row>
    <row r="394">
      <c r="A394" s="43"/>
      <c r="I394" s="20"/>
    </row>
    <row r="395">
      <c r="A395" s="43"/>
      <c r="I395" s="20"/>
    </row>
    <row r="396">
      <c r="A396" s="43"/>
      <c r="I396" s="20"/>
    </row>
    <row r="397">
      <c r="A397" s="43"/>
      <c r="I397" s="20"/>
    </row>
    <row r="398">
      <c r="A398" s="43"/>
      <c r="I398" s="20"/>
    </row>
    <row r="399">
      <c r="A399" s="43"/>
      <c r="I399" s="20"/>
    </row>
    <row r="400">
      <c r="A400" s="43"/>
      <c r="I400" s="20"/>
    </row>
    <row r="401">
      <c r="A401" s="43"/>
      <c r="I401" s="20"/>
    </row>
    <row r="402">
      <c r="A402" s="43"/>
      <c r="I402" s="20"/>
    </row>
    <row r="403">
      <c r="A403" s="43"/>
      <c r="I403" s="20"/>
    </row>
    <row r="404">
      <c r="A404" s="43"/>
      <c r="I404" s="20"/>
    </row>
    <row r="405">
      <c r="A405" s="43"/>
      <c r="I405" s="20"/>
    </row>
    <row r="406">
      <c r="A406" s="43"/>
      <c r="I406" s="20"/>
    </row>
    <row r="407">
      <c r="A407" s="43"/>
      <c r="I407" s="20"/>
    </row>
    <row r="408">
      <c r="A408" s="43"/>
      <c r="I408" s="20"/>
    </row>
    <row r="409">
      <c r="A409" s="43"/>
      <c r="I409" s="20"/>
    </row>
    <row r="410">
      <c r="A410" s="43"/>
      <c r="I410" s="20"/>
    </row>
    <row r="411">
      <c r="A411" s="43"/>
      <c r="I411" s="20"/>
    </row>
    <row r="412">
      <c r="A412" s="43"/>
      <c r="I412" s="20"/>
    </row>
    <row r="413">
      <c r="A413" s="43"/>
      <c r="I413" s="20"/>
    </row>
    <row r="414">
      <c r="A414" s="43"/>
      <c r="I414" s="20"/>
    </row>
    <row r="415">
      <c r="A415" s="43"/>
      <c r="I415" s="20"/>
    </row>
    <row r="416">
      <c r="A416" s="43"/>
      <c r="I416" s="20"/>
    </row>
    <row r="417">
      <c r="A417" s="43"/>
      <c r="I417" s="20"/>
    </row>
    <row r="418">
      <c r="A418" s="43"/>
      <c r="I418" s="20"/>
    </row>
    <row r="419">
      <c r="A419" s="43"/>
      <c r="I419" s="20"/>
    </row>
    <row r="420">
      <c r="A420" s="43"/>
      <c r="I420" s="20"/>
    </row>
    <row r="421">
      <c r="A421" s="43"/>
      <c r="I421" s="20"/>
    </row>
    <row r="422">
      <c r="A422" s="43"/>
      <c r="I422" s="20"/>
    </row>
    <row r="423">
      <c r="A423" s="43"/>
      <c r="I423" s="20"/>
    </row>
    <row r="424">
      <c r="A424" s="43"/>
      <c r="I424" s="20"/>
    </row>
    <row r="425">
      <c r="A425" s="43"/>
      <c r="I425" s="20"/>
    </row>
    <row r="426">
      <c r="A426" s="43"/>
      <c r="I426" s="20"/>
    </row>
    <row r="427">
      <c r="A427" s="43"/>
      <c r="I427" s="20"/>
    </row>
    <row r="428">
      <c r="A428" s="43"/>
      <c r="I428" s="20"/>
    </row>
    <row r="429">
      <c r="A429" s="43"/>
      <c r="I429" s="20"/>
    </row>
    <row r="430">
      <c r="A430" s="43"/>
      <c r="I430" s="20"/>
    </row>
    <row r="431">
      <c r="A431" s="43"/>
      <c r="I431" s="20"/>
    </row>
    <row r="432">
      <c r="A432" s="43"/>
      <c r="I432" s="20"/>
    </row>
    <row r="433">
      <c r="A433" s="43"/>
      <c r="I433" s="20"/>
    </row>
    <row r="434">
      <c r="A434" s="43"/>
      <c r="I434" s="20"/>
    </row>
    <row r="435">
      <c r="A435" s="43"/>
      <c r="I435" s="20"/>
    </row>
    <row r="436">
      <c r="A436" s="43"/>
      <c r="I436" s="20"/>
    </row>
    <row r="437">
      <c r="A437" s="43"/>
      <c r="I437" s="20"/>
    </row>
    <row r="438">
      <c r="A438" s="43"/>
      <c r="I438" s="20"/>
    </row>
    <row r="439">
      <c r="A439" s="43"/>
      <c r="I439" s="20"/>
    </row>
    <row r="440">
      <c r="A440" s="43"/>
      <c r="I440" s="20"/>
    </row>
    <row r="441">
      <c r="A441" s="43"/>
      <c r="I441" s="20"/>
    </row>
    <row r="442">
      <c r="A442" s="43"/>
      <c r="I442" s="20"/>
    </row>
    <row r="443">
      <c r="A443" s="43"/>
      <c r="I443" s="20"/>
    </row>
    <row r="444">
      <c r="A444" s="43"/>
      <c r="I444" s="20"/>
    </row>
    <row r="445">
      <c r="A445" s="43"/>
      <c r="I445" s="20"/>
    </row>
    <row r="446">
      <c r="A446" s="43"/>
      <c r="I446" s="20"/>
    </row>
    <row r="447">
      <c r="A447" s="43"/>
      <c r="I447" s="20"/>
    </row>
    <row r="448">
      <c r="A448" s="43"/>
      <c r="I448" s="20"/>
    </row>
    <row r="449">
      <c r="A449" s="43"/>
      <c r="I449" s="20"/>
    </row>
    <row r="450">
      <c r="A450" s="43"/>
      <c r="I450" s="20"/>
    </row>
    <row r="451">
      <c r="A451" s="43"/>
      <c r="I451" s="20"/>
    </row>
    <row r="452">
      <c r="A452" s="43"/>
      <c r="I452" s="20"/>
    </row>
    <row r="453">
      <c r="A453" s="43"/>
      <c r="I453" s="20"/>
    </row>
    <row r="454">
      <c r="A454" s="43"/>
      <c r="I454" s="20"/>
    </row>
    <row r="455">
      <c r="A455" s="43"/>
      <c r="I455" s="20"/>
    </row>
    <row r="456">
      <c r="A456" s="43"/>
      <c r="I456" s="20"/>
    </row>
    <row r="457">
      <c r="A457" s="43"/>
      <c r="I457" s="20"/>
    </row>
    <row r="458">
      <c r="A458" s="43"/>
      <c r="I458" s="20"/>
    </row>
    <row r="459">
      <c r="A459" s="43"/>
      <c r="I459" s="20"/>
    </row>
    <row r="460">
      <c r="A460" s="43"/>
      <c r="I460" s="20"/>
    </row>
    <row r="461">
      <c r="A461" s="43"/>
      <c r="I461" s="20"/>
    </row>
    <row r="462">
      <c r="A462" s="43"/>
      <c r="I462" s="20"/>
    </row>
    <row r="463">
      <c r="A463" s="43"/>
      <c r="I463" s="20"/>
    </row>
    <row r="464">
      <c r="A464" s="43"/>
      <c r="I464" s="20"/>
    </row>
    <row r="465">
      <c r="A465" s="43"/>
      <c r="I465" s="20"/>
    </row>
    <row r="466">
      <c r="A466" s="43"/>
      <c r="I466" s="20"/>
    </row>
    <row r="467">
      <c r="A467" s="43"/>
      <c r="I467" s="20"/>
    </row>
    <row r="468">
      <c r="A468" s="43"/>
      <c r="I468" s="20"/>
    </row>
    <row r="469">
      <c r="A469" s="43"/>
      <c r="I469" s="20"/>
    </row>
    <row r="470">
      <c r="A470" s="43"/>
      <c r="I470" s="20"/>
    </row>
    <row r="471">
      <c r="A471" s="43"/>
      <c r="I471" s="20"/>
    </row>
    <row r="472">
      <c r="A472" s="43"/>
      <c r="I472" s="20"/>
    </row>
    <row r="473">
      <c r="A473" s="43"/>
      <c r="I473" s="20"/>
    </row>
    <row r="474">
      <c r="A474" s="43"/>
      <c r="I474" s="20"/>
    </row>
    <row r="475">
      <c r="A475" s="43"/>
      <c r="I475" s="20"/>
    </row>
    <row r="476">
      <c r="A476" s="43"/>
      <c r="I476" s="20"/>
    </row>
    <row r="477">
      <c r="A477" s="43"/>
      <c r="I477" s="20"/>
    </row>
    <row r="478">
      <c r="A478" s="43"/>
      <c r="I478" s="20"/>
    </row>
    <row r="479">
      <c r="A479" s="43"/>
      <c r="I479" s="20"/>
    </row>
    <row r="480">
      <c r="A480" s="43"/>
      <c r="I480" s="20"/>
    </row>
    <row r="481">
      <c r="A481" s="43"/>
      <c r="I481" s="20"/>
    </row>
    <row r="482">
      <c r="A482" s="43"/>
      <c r="I482" s="20"/>
    </row>
    <row r="483">
      <c r="A483" s="43"/>
      <c r="I483" s="20"/>
    </row>
    <row r="484">
      <c r="A484" s="43"/>
      <c r="I484" s="20"/>
    </row>
    <row r="485">
      <c r="A485" s="43"/>
      <c r="I485" s="20"/>
    </row>
    <row r="486">
      <c r="A486" s="43"/>
      <c r="I486" s="20"/>
    </row>
    <row r="487">
      <c r="A487" s="43"/>
      <c r="I487" s="20"/>
    </row>
    <row r="488">
      <c r="A488" s="43"/>
      <c r="I488" s="20"/>
    </row>
    <row r="489">
      <c r="A489" s="43"/>
      <c r="I489" s="20"/>
    </row>
    <row r="490">
      <c r="A490" s="43"/>
      <c r="I490" s="20"/>
    </row>
    <row r="491">
      <c r="A491" s="43"/>
      <c r="I491" s="20"/>
    </row>
    <row r="492">
      <c r="A492" s="43"/>
      <c r="I492" s="20"/>
    </row>
    <row r="493">
      <c r="A493" s="43"/>
      <c r="I493" s="20"/>
    </row>
    <row r="494">
      <c r="A494" s="43"/>
      <c r="I494" s="20"/>
    </row>
    <row r="495">
      <c r="A495" s="43"/>
      <c r="I495" s="20"/>
    </row>
    <row r="496">
      <c r="A496" s="43"/>
      <c r="I496" s="20"/>
    </row>
    <row r="497">
      <c r="A497" s="43"/>
      <c r="I497" s="20"/>
    </row>
    <row r="498">
      <c r="A498" s="43"/>
      <c r="I498" s="20"/>
    </row>
    <row r="499">
      <c r="A499" s="43"/>
      <c r="I499" s="20"/>
    </row>
    <row r="500">
      <c r="A500" s="43"/>
      <c r="I500" s="20"/>
    </row>
    <row r="501">
      <c r="A501" s="43"/>
      <c r="I501" s="20"/>
    </row>
    <row r="502">
      <c r="A502" s="43"/>
      <c r="I502" s="20"/>
    </row>
    <row r="503">
      <c r="A503" s="43"/>
      <c r="I503" s="20"/>
    </row>
    <row r="504">
      <c r="A504" s="43"/>
      <c r="I504" s="20"/>
    </row>
    <row r="505">
      <c r="A505" s="43"/>
      <c r="I505" s="20"/>
    </row>
    <row r="506">
      <c r="A506" s="43"/>
      <c r="I506" s="20"/>
    </row>
    <row r="507">
      <c r="A507" s="43"/>
      <c r="I507" s="20"/>
    </row>
    <row r="508">
      <c r="A508" s="43"/>
      <c r="I508" s="20"/>
    </row>
    <row r="509">
      <c r="A509" s="43"/>
      <c r="I509" s="20"/>
    </row>
    <row r="510">
      <c r="A510" s="43"/>
      <c r="I510" s="20"/>
    </row>
    <row r="511">
      <c r="A511" s="43"/>
      <c r="I511" s="20"/>
    </row>
    <row r="512">
      <c r="A512" s="43"/>
      <c r="I512" s="20"/>
    </row>
    <row r="513">
      <c r="A513" s="43"/>
      <c r="I513" s="20"/>
    </row>
    <row r="514">
      <c r="A514" s="43"/>
      <c r="I514" s="20"/>
    </row>
    <row r="515">
      <c r="A515" s="43"/>
      <c r="I515" s="20"/>
    </row>
    <row r="516">
      <c r="A516" s="43"/>
      <c r="I516" s="20"/>
    </row>
    <row r="517">
      <c r="A517" s="43"/>
      <c r="I517" s="20"/>
    </row>
    <row r="518">
      <c r="A518" s="43"/>
      <c r="I518" s="20"/>
    </row>
    <row r="519">
      <c r="A519" s="43"/>
      <c r="I519" s="20"/>
    </row>
    <row r="520">
      <c r="A520" s="43"/>
      <c r="I520" s="20"/>
    </row>
    <row r="521">
      <c r="A521" s="43"/>
      <c r="I521" s="20"/>
    </row>
    <row r="522">
      <c r="A522" s="43"/>
      <c r="I522" s="20"/>
    </row>
    <row r="523">
      <c r="A523" s="43"/>
      <c r="I523" s="20"/>
    </row>
    <row r="524">
      <c r="A524" s="43"/>
      <c r="I524" s="20"/>
    </row>
    <row r="525">
      <c r="A525" s="43"/>
      <c r="I525" s="20"/>
    </row>
    <row r="526">
      <c r="A526" s="43"/>
      <c r="I526" s="20"/>
    </row>
    <row r="527">
      <c r="A527" s="43"/>
      <c r="I527" s="20"/>
    </row>
    <row r="528">
      <c r="A528" s="43"/>
      <c r="I528" s="20"/>
    </row>
    <row r="529">
      <c r="A529" s="43"/>
      <c r="I529" s="20"/>
    </row>
    <row r="530">
      <c r="A530" s="43"/>
      <c r="I530" s="20"/>
    </row>
    <row r="531">
      <c r="A531" s="43"/>
      <c r="I531" s="20"/>
    </row>
    <row r="532">
      <c r="A532" s="43"/>
      <c r="I532" s="20"/>
    </row>
    <row r="533">
      <c r="A533" s="43"/>
      <c r="I533" s="20"/>
    </row>
    <row r="534">
      <c r="A534" s="43"/>
      <c r="I534" s="20"/>
    </row>
    <row r="535">
      <c r="A535" s="43"/>
      <c r="I535" s="20"/>
    </row>
    <row r="536">
      <c r="A536" s="43"/>
      <c r="I536" s="20"/>
    </row>
    <row r="537">
      <c r="A537" s="43"/>
      <c r="I537" s="20"/>
    </row>
    <row r="538">
      <c r="A538" s="43"/>
      <c r="I538" s="20"/>
    </row>
    <row r="539">
      <c r="A539" s="43"/>
      <c r="I539" s="20"/>
    </row>
    <row r="540">
      <c r="A540" s="43"/>
      <c r="I540" s="20"/>
    </row>
    <row r="541">
      <c r="A541" s="43"/>
      <c r="I541" s="20"/>
    </row>
    <row r="542">
      <c r="A542" s="43"/>
      <c r="I542" s="20"/>
    </row>
    <row r="543">
      <c r="A543" s="43"/>
      <c r="I543" s="20"/>
    </row>
    <row r="544">
      <c r="A544" s="43"/>
      <c r="I544" s="20"/>
    </row>
    <row r="545">
      <c r="A545" s="43"/>
      <c r="I545" s="20"/>
    </row>
    <row r="546">
      <c r="A546" s="43"/>
      <c r="I546" s="20"/>
    </row>
    <row r="547">
      <c r="A547" s="43"/>
      <c r="I547" s="20"/>
    </row>
    <row r="548">
      <c r="A548" s="43"/>
      <c r="I548" s="20"/>
    </row>
    <row r="549">
      <c r="A549" s="43"/>
      <c r="I549" s="20"/>
    </row>
    <row r="550">
      <c r="A550" s="43"/>
      <c r="I550" s="20"/>
    </row>
    <row r="551">
      <c r="A551" s="43"/>
      <c r="I551" s="20"/>
    </row>
    <row r="552">
      <c r="A552" s="43"/>
      <c r="I552" s="20"/>
    </row>
    <row r="553">
      <c r="A553" s="43"/>
      <c r="I553" s="20"/>
    </row>
    <row r="554">
      <c r="A554" s="43"/>
      <c r="I554" s="20"/>
    </row>
    <row r="555">
      <c r="A555" s="43"/>
      <c r="I555" s="20"/>
    </row>
    <row r="556">
      <c r="A556" s="43"/>
      <c r="I556" s="20"/>
    </row>
    <row r="557">
      <c r="A557" s="43"/>
      <c r="I557" s="20"/>
    </row>
    <row r="558">
      <c r="A558" s="43"/>
      <c r="I558" s="20"/>
    </row>
    <row r="559">
      <c r="A559" s="43"/>
      <c r="I559" s="20"/>
    </row>
    <row r="560">
      <c r="A560" s="43"/>
      <c r="I560" s="20"/>
    </row>
    <row r="561">
      <c r="A561" s="43"/>
      <c r="I561" s="20"/>
    </row>
    <row r="562">
      <c r="A562" s="43"/>
      <c r="I562" s="20"/>
    </row>
    <row r="563">
      <c r="A563" s="43"/>
      <c r="I563" s="20"/>
    </row>
    <row r="564">
      <c r="A564" s="43"/>
      <c r="I564" s="20"/>
    </row>
    <row r="565">
      <c r="A565" s="43"/>
      <c r="I565" s="20"/>
    </row>
    <row r="566">
      <c r="A566" s="43"/>
      <c r="I566" s="20"/>
    </row>
    <row r="567">
      <c r="A567" s="43"/>
      <c r="I567" s="20"/>
    </row>
    <row r="568">
      <c r="A568" s="43"/>
      <c r="I568" s="20"/>
    </row>
    <row r="569">
      <c r="A569" s="43"/>
      <c r="I569" s="20"/>
    </row>
    <row r="570">
      <c r="A570" s="43"/>
      <c r="I570" s="20"/>
    </row>
    <row r="571">
      <c r="A571" s="43"/>
      <c r="I571" s="20"/>
    </row>
    <row r="572">
      <c r="A572" s="43"/>
      <c r="I572" s="20"/>
    </row>
    <row r="573">
      <c r="A573" s="43"/>
      <c r="I573" s="20"/>
    </row>
    <row r="574">
      <c r="A574" s="43"/>
      <c r="I574" s="20"/>
    </row>
    <row r="575">
      <c r="A575" s="43"/>
      <c r="I575" s="20"/>
    </row>
    <row r="576">
      <c r="A576" s="43"/>
      <c r="I576" s="20"/>
    </row>
    <row r="577">
      <c r="A577" s="43"/>
      <c r="I577" s="20"/>
    </row>
    <row r="578">
      <c r="A578" s="43"/>
      <c r="I578" s="20"/>
    </row>
    <row r="579">
      <c r="A579" s="43"/>
      <c r="I579" s="20"/>
    </row>
    <row r="580">
      <c r="A580" s="43"/>
      <c r="I580" s="20"/>
    </row>
    <row r="581">
      <c r="A581" s="43"/>
      <c r="I581" s="20"/>
    </row>
    <row r="582">
      <c r="A582" s="43"/>
      <c r="I582" s="20"/>
    </row>
    <row r="583">
      <c r="A583" s="43"/>
      <c r="I583" s="20"/>
    </row>
    <row r="584">
      <c r="A584" s="43"/>
      <c r="I584" s="20"/>
    </row>
    <row r="585">
      <c r="A585" s="43"/>
      <c r="I585" s="20"/>
    </row>
    <row r="586">
      <c r="A586" s="43"/>
      <c r="I586" s="20"/>
    </row>
    <row r="587">
      <c r="A587" s="43"/>
      <c r="I587" s="20"/>
    </row>
    <row r="588">
      <c r="A588" s="43"/>
      <c r="I588" s="20"/>
    </row>
    <row r="589">
      <c r="A589" s="43"/>
      <c r="I589" s="20"/>
    </row>
    <row r="590">
      <c r="A590" s="43"/>
      <c r="I590" s="20"/>
    </row>
    <row r="591">
      <c r="A591" s="43"/>
      <c r="I591" s="20"/>
    </row>
    <row r="592">
      <c r="A592" s="43"/>
      <c r="I592" s="20"/>
    </row>
    <row r="593">
      <c r="A593" s="43"/>
      <c r="I593" s="20"/>
    </row>
    <row r="594">
      <c r="A594" s="43"/>
      <c r="I594" s="20"/>
    </row>
    <row r="595">
      <c r="A595" s="43"/>
      <c r="I595" s="20"/>
    </row>
    <row r="596">
      <c r="A596" s="43"/>
      <c r="I596" s="20"/>
    </row>
    <row r="597">
      <c r="A597" s="43"/>
      <c r="I597" s="20"/>
    </row>
    <row r="598">
      <c r="A598" s="43"/>
      <c r="I598" s="20"/>
    </row>
    <row r="599">
      <c r="A599" s="43"/>
      <c r="I599" s="20"/>
    </row>
    <row r="600">
      <c r="A600" s="43"/>
      <c r="I600" s="20"/>
    </row>
    <row r="601">
      <c r="A601" s="43"/>
      <c r="I601" s="20"/>
    </row>
    <row r="602">
      <c r="A602" s="43"/>
      <c r="I602" s="20"/>
    </row>
    <row r="603">
      <c r="A603" s="43"/>
      <c r="I603" s="20"/>
    </row>
    <row r="604">
      <c r="A604" s="43"/>
      <c r="I604" s="20"/>
    </row>
    <row r="605">
      <c r="A605" s="43"/>
      <c r="I605" s="20"/>
    </row>
    <row r="606">
      <c r="A606" s="43"/>
      <c r="I606" s="20"/>
    </row>
    <row r="607">
      <c r="A607" s="43"/>
      <c r="I607" s="20"/>
    </row>
    <row r="608">
      <c r="A608" s="43"/>
      <c r="I608" s="20"/>
    </row>
    <row r="609">
      <c r="A609" s="43"/>
      <c r="I609" s="20"/>
    </row>
    <row r="610">
      <c r="A610" s="43"/>
      <c r="I610" s="20"/>
    </row>
    <row r="611">
      <c r="A611" s="43"/>
      <c r="I611" s="20"/>
    </row>
    <row r="612">
      <c r="A612" s="43"/>
      <c r="I612" s="20"/>
    </row>
    <row r="613">
      <c r="A613" s="43"/>
      <c r="I613" s="20"/>
    </row>
    <row r="614">
      <c r="A614" s="43"/>
      <c r="I614" s="20"/>
    </row>
    <row r="615">
      <c r="A615" s="43"/>
      <c r="I615" s="20"/>
    </row>
    <row r="616">
      <c r="A616" s="43"/>
      <c r="I616" s="20"/>
    </row>
    <row r="617">
      <c r="A617" s="43"/>
      <c r="I617" s="20"/>
    </row>
    <row r="618">
      <c r="A618" s="43"/>
      <c r="I618" s="20"/>
    </row>
    <row r="619">
      <c r="A619" s="43"/>
      <c r="I619" s="20"/>
    </row>
    <row r="620">
      <c r="A620" s="43"/>
      <c r="I620" s="20"/>
    </row>
    <row r="621">
      <c r="A621" s="43"/>
      <c r="I621" s="20"/>
    </row>
    <row r="622">
      <c r="A622" s="43"/>
      <c r="I622" s="20"/>
    </row>
    <row r="623">
      <c r="A623" s="43"/>
      <c r="I623" s="20"/>
    </row>
    <row r="624">
      <c r="A624" s="43"/>
      <c r="I624" s="20"/>
    </row>
    <row r="625">
      <c r="A625" s="43"/>
      <c r="I625" s="20"/>
    </row>
    <row r="626">
      <c r="A626" s="43"/>
      <c r="I626" s="20"/>
    </row>
    <row r="627">
      <c r="A627" s="43"/>
      <c r="I627" s="20"/>
    </row>
    <row r="628">
      <c r="A628" s="43"/>
      <c r="I628" s="20"/>
    </row>
    <row r="629">
      <c r="A629" s="43"/>
      <c r="I629" s="20"/>
    </row>
    <row r="630">
      <c r="A630" s="43"/>
      <c r="I630" s="20"/>
    </row>
    <row r="631">
      <c r="A631" s="43"/>
      <c r="I631" s="20"/>
    </row>
    <row r="632">
      <c r="A632" s="43"/>
      <c r="I632" s="20"/>
    </row>
    <row r="633">
      <c r="A633" s="43"/>
      <c r="I633" s="20"/>
    </row>
    <row r="634">
      <c r="A634" s="43"/>
      <c r="I634" s="20"/>
    </row>
    <row r="635">
      <c r="A635" s="43"/>
      <c r="I635" s="20"/>
    </row>
    <row r="636">
      <c r="A636" s="43"/>
      <c r="I636" s="20"/>
    </row>
    <row r="637">
      <c r="A637" s="43"/>
      <c r="I637" s="20"/>
    </row>
    <row r="638">
      <c r="A638" s="43"/>
      <c r="I638" s="20"/>
    </row>
    <row r="639">
      <c r="A639" s="43"/>
      <c r="I639" s="20"/>
    </row>
    <row r="640">
      <c r="A640" s="43"/>
      <c r="I640" s="20"/>
    </row>
    <row r="641">
      <c r="A641" s="43"/>
      <c r="I641" s="20"/>
    </row>
    <row r="642">
      <c r="A642" s="43"/>
      <c r="I642" s="20"/>
    </row>
    <row r="643">
      <c r="A643" s="43"/>
      <c r="I643" s="20"/>
    </row>
    <row r="644">
      <c r="A644" s="43"/>
      <c r="I644" s="20"/>
    </row>
    <row r="645">
      <c r="A645" s="43"/>
      <c r="I645" s="20"/>
    </row>
    <row r="646">
      <c r="A646" s="43"/>
      <c r="I646" s="20"/>
    </row>
    <row r="647">
      <c r="A647" s="43"/>
      <c r="I647" s="20"/>
    </row>
    <row r="648">
      <c r="A648" s="43"/>
      <c r="I648" s="20"/>
    </row>
    <row r="649">
      <c r="A649" s="43"/>
      <c r="I649" s="20"/>
    </row>
    <row r="650">
      <c r="A650" s="43"/>
      <c r="I650" s="20"/>
    </row>
    <row r="651">
      <c r="A651" s="43"/>
      <c r="I651" s="20"/>
    </row>
    <row r="652">
      <c r="A652" s="43"/>
      <c r="I652" s="20"/>
    </row>
    <row r="653">
      <c r="A653" s="43"/>
      <c r="I653" s="20"/>
    </row>
    <row r="654">
      <c r="A654" s="43"/>
      <c r="I654" s="20"/>
    </row>
    <row r="655">
      <c r="A655" s="43"/>
      <c r="I655" s="20"/>
    </row>
    <row r="656">
      <c r="A656" s="43"/>
      <c r="I656" s="20"/>
    </row>
    <row r="657">
      <c r="A657" s="43"/>
      <c r="I657" s="20"/>
    </row>
    <row r="658">
      <c r="A658" s="43"/>
      <c r="I658" s="20"/>
    </row>
    <row r="659">
      <c r="A659" s="43"/>
      <c r="I659" s="20"/>
    </row>
    <row r="660">
      <c r="A660" s="43"/>
      <c r="I660" s="20"/>
    </row>
    <row r="661">
      <c r="A661" s="43"/>
      <c r="I661" s="20"/>
    </row>
    <row r="662">
      <c r="A662" s="43"/>
      <c r="I662" s="20"/>
    </row>
    <row r="663">
      <c r="A663" s="43"/>
      <c r="I663" s="20"/>
    </row>
    <row r="664">
      <c r="A664" s="43"/>
      <c r="I664" s="20"/>
    </row>
    <row r="665">
      <c r="A665" s="43"/>
      <c r="I665" s="20"/>
    </row>
    <row r="666">
      <c r="A666" s="43"/>
      <c r="I666" s="20"/>
    </row>
    <row r="667">
      <c r="A667" s="43"/>
      <c r="I667" s="20"/>
    </row>
    <row r="668">
      <c r="A668" s="43"/>
      <c r="I668" s="20"/>
    </row>
    <row r="669">
      <c r="A669" s="43"/>
      <c r="I669" s="20"/>
    </row>
    <row r="670">
      <c r="A670" s="43"/>
      <c r="I670" s="20"/>
    </row>
    <row r="671">
      <c r="A671" s="43"/>
      <c r="I671" s="20"/>
    </row>
    <row r="672">
      <c r="A672" s="43"/>
      <c r="I672" s="20"/>
    </row>
    <row r="673">
      <c r="A673" s="43"/>
      <c r="I673" s="20"/>
    </row>
    <row r="674">
      <c r="A674" s="43"/>
      <c r="I674" s="20"/>
    </row>
    <row r="675">
      <c r="A675" s="43"/>
      <c r="I675" s="20"/>
    </row>
    <row r="676">
      <c r="A676" s="43"/>
      <c r="I676" s="20"/>
    </row>
    <row r="677">
      <c r="A677" s="43"/>
      <c r="I677" s="20"/>
    </row>
    <row r="678">
      <c r="A678" s="43"/>
      <c r="I678" s="20"/>
    </row>
    <row r="679">
      <c r="A679" s="43"/>
      <c r="I679" s="20"/>
    </row>
    <row r="680">
      <c r="A680" s="43"/>
      <c r="I680" s="20"/>
    </row>
    <row r="681">
      <c r="A681" s="43"/>
      <c r="I681" s="20"/>
    </row>
    <row r="682">
      <c r="A682" s="43"/>
      <c r="I682" s="20"/>
    </row>
    <row r="683">
      <c r="A683" s="43"/>
      <c r="I683" s="20"/>
    </row>
    <row r="684">
      <c r="A684" s="43"/>
      <c r="I684" s="20"/>
    </row>
    <row r="685">
      <c r="A685" s="43"/>
      <c r="I685" s="20"/>
    </row>
    <row r="686">
      <c r="A686" s="43"/>
      <c r="I686" s="20"/>
    </row>
    <row r="687">
      <c r="A687" s="43"/>
      <c r="I687" s="20"/>
    </row>
    <row r="688">
      <c r="A688" s="43"/>
      <c r="I688" s="20"/>
    </row>
    <row r="689">
      <c r="A689" s="43"/>
      <c r="I689" s="20"/>
    </row>
    <row r="690">
      <c r="A690" s="43"/>
      <c r="I690" s="20"/>
    </row>
    <row r="691">
      <c r="A691" s="43"/>
      <c r="I691" s="20"/>
    </row>
    <row r="692">
      <c r="A692" s="43"/>
      <c r="I692" s="20"/>
    </row>
    <row r="693">
      <c r="A693" s="43"/>
      <c r="I693" s="20"/>
    </row>
    <row r="694">
      <c r="A694" s="43"/>
      <c r="I694" s="20"/>
    </row>
    <row r="695">
      <c r="A695" s="43"/>
      <c r="I695" s="20"/>
    </row>
    <row r="696">
      <c r="A696" s="43"/>
      <c r="I696" s="20"/>
    </row>
    <row r="697">
      <c r="A697" s="43"/>
      <c r="I697" s="20"/>
    </row>
    <row r="698">
      <c r="A698" s="43"/>
      <c r="I698" s="20"/>
    </row>
    <row r="699">
      <c r="A699" s="43"/>
      <c r="I699" s="20"/>
    </row>
    <row r="700">
      <c r="A700" s="43"/>
      <c r="I700" s="20"/>
    </row>
    <row r="701">
      <c r="A701" s="43"/>
      <c r="I701" s="20"/>
    </row>
    <row r="702">
      <c r="A702" s="43"/>
      <c r="I702" s="20"/>
    </row>
    <row r="703">
      <c r="A703" s="43"/>
      <c r="I703" s="20"/>
    </row>
    <row r="704">
      <c r="A704" s="43"/>
      <c r="I704" s="20"/>
    </row>
    <row r="705">
      <c r="A705" s="43"/>
      <c r="I705" s="20"/>
    </row>
    <row r="706">
      <c r="A706" s="43"/>
      <c r="I706" s="20"/>
    </row>
    <row r="707">
      <c r="A707" s="43"/>
      <c r="I707" s="20"/>
    </row>
    <row r="708">
      <c r="A708" s="43"/>
      <c r="I708" s="20"/>
    </row>
    <row r="709">
      <c r="A709" s="43"/>
      <c r="I709" s="20"/>
    </row>
    <row r="710">
      <c r="A710" s="43"/>
      <c r="I710" s="20"/>
    </row>
    <row r="711">
      <c r="A711" s="43"/>
      <c r="I711" s="20"/>
    </row>
    <row r="712">
      <c r="A712" s="43"/>
      <c r="I712" s="20"/>
    </row>
    <row r="713">
      <c r="A713" s="43"/>
      <c r="I713" s="20"/>
    </row>
    <row r="714">
      <c r="A714" s="43"/>
      <c r="I714" s="20"/>
    </row>
    <row r="715">
      <c r="A715" s="43"/>
      <c r="I715" s="20"/>
    </row>
    <row r="716">
      <c r="A716" s="43"/>
      <c r="I716" s="20"/>
    </row>
    <row r="717">
      <c r="A717" s="43"/>
      <c r="I717" s="20"/>
    </row>
    <row r="718">
      <c r="A718" s="43"/>
      <c r="I718" s="20"/>
    </row>
    <row r="719">
      <c r="A719" s="43"/>
      <c r="I719" s="20"/>
    </row>
    <row r="720">
      <c r="A720" s="43"/>
      <c r="I720" s="20"/>
    </row>
    <row r="721">
      <c r="A721" s="43"/>
      <c r="I721" s="20"/>
    </row>
    <row r="722">
      <c r="A722" s="43"/>
      <c r="I722" s="20"/>
    </row>
    <row r="723">
      <c r="A723" s="43"/>
      <c r="I723" s="20"/>
    </row>
    <row r="724">
      <c r="A724" s="43"/>
      <c r="I724" s="20"/>
    </row>
    <row r="725">
      <c r="A725" s="43"/>
      <c r="I725" s="20"/>
    </row>
    <row r="726">
      <c r="A726" s="43"/>
      <c r="I726" s="20"/>
    </row>
    <row r="727">
      <c r="A727" s="43"/>
      <c r="I727" s="20"/>
    </row>
    <row r="728">
      <c r="A728" s="43"/>
      <c r="I728" s="20"/>
    </row>
    <row r="729">
      <c r="A729" s="43"/>
      <c r="I729" s="20"/>
    </row>
    <row r="730">
      <c r="A730" s="43"/>
      <c r="I730" s="20"/>
    </row>
    <row r="731">
      <c r="A731" s="43"/>
      <c r="I731" s="20"/>
    </row>
    <row r="732">
      <c r="A732" s="43"/>
      <c r="I732" s="20"/>
    </row>
    <row r="733">
      <c r="A733" s="43"/>
      <c r="I733" s="20"/>
    </row>
    <row r="734">
      <c r="A734" s="43"/>
      <c r="I734" s="20"/>
    </row>
    <row r="735">
      <c r="A735" s="43"/>
      <c r="I735" s="20"/>
    </row>
    <row r="736">
      <c r="A736" s="43"/>
      <c r="I736" s="20"/>
    </row>
    <row r="737">
      <c r="A737" s="43"/>
      <c r="I737" s="20"/>
    </row>
    <row r="738">
      <c r="A738" s="43"/>
      <c r="I738" s="20"/>
    </row>
    <row r="739">
      <c r="A739" s="43"/>
      <c r="I739" s="20"/>
    </row>
    <row r="740">
      <c r="A740" s="43"/>
      <c r="I740" s="20"/>
    </row>
    <row r="741">
      <c r="A741" s="43"/>
      <c r="I741" s="20"/>
    </row>
    <row r="742">
      <c r="A742" s="43"/>
      <c r="I742" s="20"/>
    </row>
    <row r="743">
      <c r="A743" s="43"/>
      <c r="I743" s="20"/>
    </row>
    <row r="744">
      <c r="A744" s="43"/>
      <c r="I744" s="20"/>
    </row>
    <row r="745">
      <c r="A745" s="43"/>
      <c r="I745" s="20"/>
    </row>
    <row r="746">
      <c r="A746" s="43"/>
      <c r="I746" s="20"/>
    </row>
    <row r="747">
      <c r="A747" s="43"/>
      <c r="I747" s="20"/>
    </row>
    <row r="748">
      <c r="A748" s="43"/>
      <c r="I748" s="20"/>
    </row>
    <row r="749">
      <c r="A749" s="43"/>
      <c r="I749" s="20"/>
    </row>
    <row r="750">
      <c r="A750" s="43"/>
      <c r="I750" s="20"/>
    </row>
    <row r="751">
      <c r="A751" s="43"/>
      <c r="I751" s="20"/>
    </row>
    <row r="752">
      <c r="A752" s="43"/>
      <c r="I752" s="20"/>
    </row>
    <row r="753">
      <c r="A753" s="43"/>
      <c r="I753" s="20"/>
    </row>
    <row r="754">
      <c r="A754" s="43"/>
      <c r="I754" s="20"/>
    </row>
    <row r="755">
      <c r="A755" s="43"/>
      <c r="I755" s="20"/>
    </row>
    <row r="756">
      <c r="A756" s="43"/>
      <c r="I756" s="20"/>
    </row>
    <row r="757">
      <c r="A757" s="43"/>
      <c r="I757" s="20"/>
    </row>
    <row r="758">
      <c r="A758" s="43"/>
      <c r="I758" s="20"/>
    </row>
    <row r="759">
      <c r="A759" s="43"/>
      <c r="I759" s="20"/>
    </row>
    <row r="760">
      <c r="A760" s="43"/>
      <c r="I760" s="20"/>
    </row>
    <row r="761">
      <c r="A761" s="43"/>
      <c r="I761" s="20"/>
    </row>
    <row r="762">
      <c r="A762" s="43"/>
      <c r="I762" s="20"/>
    </row>
    <row r="763">
      <c r="A763" s="43"/>
      <c r="I763" s="20"/>
    </row>
    <row r="764">
      <c r="A764" s="43"/>
      <c r="I764" s="20"/>
    </row>
    <row r="765">
      <c r="A765" s="43"/>
      <c r="I765" s="20"/>
    </row>
    <row r="766">
      <c r="A766" s="43"/>
      <c r="I766" s="20"/>
    </row>
    <row r="767">
      <c r="A767" s="43"/>
      <c r="I767" s="20"/>
    </row>
    <row r="768">
      <c r="A768" s="43"/>
      <c r="I768" s="20"/>
    </row>
    <row r="769">
      <c r="A769" s="43"/>
      <c r="I769" s="20"/>
    </row>
    <row r="770">
      <c r="A770" s="43"/>
      <c r="I770" s="20"/>
    </row>
    <row r="771">
      <c r="A771" s="43"/>
      <c r="I771" s="20"/>
    </row>
    <row r="772">
      <c r="A772" s="43"/>
      <c r="I772" s="20"/>
    </row>
    <row r="773">
      <c r="A773" s="43"/>
      <c r="I773" s="20"/>
    </row>
    <row r="774">
      <c r="A774" s="43"/>
      <c r="I774" s="20"/>
    </row>
    <row r="775">
      <c r="A775" s="43"/>
      <c r="I775" s="20"/>
    </row>
    <row r="776">
      <c r="A776" s="43"/>
      <c r="I776" s="20"/>
    </row>
    <row r="777">
      <c r="A777" s="43"/>
      <c r="I777" s="20"/>
    </row>
    <row r="778">
      <c r="A778" s="43"/>
      <c r="I778" s="20"/>
    </row>
    <row r="779">
      <c r="A779" s="43"/>
      <c r="I779" s="20"/>
    </row>
    <row r="780">
      <c r="A780" s="43"/>
      <c r="I780" s="20"/>
    </row>
    <row r="781">
      <c r="A781" s="43"/>
      <c r="I781" s="20"/>
    </row>
    <row r="782">
      <c r="A782" s="43"/>
      <c r="I782" s="20"/>
    </row>
    <row r="783">
      <c r="A783" s="43"/>
      <c r="I783" s="20"/>
    </row>
    <row r="784">
      <c r="A784" s="43"/>
      <c r="I784" s="20"/>
    </row>
    <row r="785">
      <c r="A785" s="43"/>
      <c r="I785" s="20"/>
    </row>
    <row r="786">
      <c r="A786" s="43"/>
      <c r="I786" s="20"/>
    </row>
    <row r="787">
      <c r="A787" s="43"/>
      <c r="I787" s="20"/>
    </row>
    <row r="788">
      <c r="A788" s="43"/>
      <c r="I788" s="20"/>
    </row>
    <row r="789">
      <c r="A789" s="43"/>
      <c r="I789" s="20"/>
    </row>
    <row r="790">
      <c r="A790" s="43"/>
      <c r="I790" s="20"/>
    </row>
    <row r="791">
      <c r="A791" s="43"/>
      <c r="I791" s="20"/>
    </row>
    <row r="792">
      <c r="A792" s="43"/>
      <c r="I792" s="20"/>
    </row>
    <row r="793">
      <c r="A793" s="43"/>
      <c r="I793" s="20"/>
    </row>
    <row r="794">
      <c r="A794" s="43"/>
      <c r="I794" s="20"/>
    </row>
    <row r="795">
      <c r="A795" s="43"/>
      <c r="I795" s="20"/>
    </row>
    <row r="796">
      <c r="A796" s="43"/>
      <c r="I796" s="20"/>
    </row>
    <row r="797">
      <c r="A797" s="43"/>
      <c r="I797" s="20"/>
    </row>
    <row r="798">
      <c r="A798" s="43"/>
      <c r="I798" s="20"/>
    </row>
    <row r="799">
      <c r="A799" s="43"/>
      <c r="I799" s="20"/>
    </row>
    <row r="800">
      <c r="A800" s="43"/>
      <c r="I800" s="20"/>
    </row>
    <row r="801">
      <c r="A801" s="43"/>
      <c r="I801" s="20"/>
    </row>
    <row r="802">
      <c r="A802" s="43"/>
      <c r="I802" s="20"/>
    </row>
    <row r="803">
      <c r="A803" s="43"/>
      <c r="I803" s="20"/>
    </row>
    <row r="804">
      <c r="A804" s="43"/>
      <c r="I804" s="20"/>
    </row>
    <row r="805">
      <c r="A805" s="43"/>
      <c r="I805" s="20"/>
    </row>
    <row r="806">
      <c r="A806" s="43"/>
      <c r="I806" s="20"/>
    </row>
    <row r="807">
      <c r="A807" s="43"/>
      <c r="I807" s="20"/>
    </row>
    <row r="808">
      <c r="A808" s="43"/>
      <c r="I808" s="20"/>
    </row>
    <row r="809">
      <c r="A809" s="43"/>
      <c r="I809" s="20"/>
    </row>
    <row r="810">
      <c r="A810" s="43"/>
      <c r="I810" s="20"/>
    </row>
    <row r="811">
      <c r="A811" s="43"/>
      <c r="I811" s="20"/>
    </row>
    <row r="812">
      <c r="A812" s="43"/>
      <c r="I812" s="20"/>
    </row>
    <row r="813">
      <c r="A813" s="43"/>
      <c r="I813" s="20"/>
    </row>
    <row r="814">
      <c r="A814" s="43"/>
      <c r="I814" s="20"/>
    </row>
    <row r="815">
      <c r="A815" s="43"/>
      <c r="I815" s="20"/>
    </row>
    <row r="816">
      <c r="A816" s="43"/>
      <c r="I816" s="20"/>
    </row>
    <row r="817">
      <c r="A817" s="43"/>
      <c r="I817" s="20"/>
    </row>
    <row r="818">
      <c r="A818" s="43"/>
      <c r="I818" s="20"/>
    </row>
    <row r="819">
      <c r="A819" s="43"/>
      <c r="I819" s="20"/>
    </row>
    <row r="820">
      <c r="A820" s="43"/>
      <c r="I820" s="20"/>
    </row>
    <row r="821">
      <c r="A821" s="43"/>
      <c r="I821" s="20"/>
    </row>
    <row r="822">
      <c r="A822" s="43"/>
      <c r="I822" s="20"/>
    </row>
    <row r="823">
      <c r="A823" s="43"/>
      <c r="I823" s="20"/>
    </row>
    <row r="824">
      <c r="A824" s="43"/>
      <c r="I824" s="20"/>
    </row>
    <row r="825">
      <c r="A825" s="43"/>
      <c r="I825" s="20"/>
    </row>
    <row r="826">
      <c r="A826" s="43"/>
      <c r="I826" s="20"/>
    </row>
    <row r="827">
      <c r="A827" s="43"/>
      <c r="I827" s="20"/>
    </row>
    <row r="828">
      <c r="A828" s="43"/>
      <c r="I828" s="20"/>
    </row>
    <row r="829">
      <c r="A829" s="43"/>
      <c r="I829" s="20"/>
    </row>
    <row r="830">
      <c r="A830" s="43"/>
      <c r="I830" s="20"/>
    </row>
    <row r="831">
      <c r="A831" s="43"/>
      <c r="I831" s="20"/>
    </row>
    <row r="832">
      <c r="A832" s="43"/>
      <c r="I832" s="20"/>
    </row>
    <row r="833">
      <c r="A833" s="43"/>
      <c r="I833" s="20"/>
    </row>
    <row r="834">
      <c r="A834" s="43"/>
      <c r="I834" s="20"/>
    </row>
    <row r="835">
      <c r="A835" s="43"/>
      <c r="I835" s="20"/>
    </row>
    <row r="836">
      <c r="A836" s="43"/>
      <c r="I836" s="20"/>
    </row>
    <row r="837">
      <c r="A837" s="43"/>
      <c r="I837" s="20"/>
    </row>
    <row r="838">
      <c r="A838" s="43"/>
      <c r="I838" s="20"/>
    </row>
    <row r="839">
      <c r="A839" s="43"/>
      <c r="I839" s="20"/>
    </row>
    <row r="840">
      <c r="A840" s="43"/>
      <c r="I840" s="20"/>
    </row>
    <row r="841">
      <c r="A841" s="43"/>
      <c r="I841" s="20"/>
    </row>
    <row r="842">
      <c r="A842" s="43"/>
      <c r="I842" s="20"/>
    </row>
    <row r="843">
      <c r="A843" s="43"/>
      <c r="I843" s="20"/>
    </row>
    <row r="844">
      <c r="A844" s="43"/>
      <c r="I844" s="20"/>
    </row>
    <row r="845">
      <c r="A845" s="43"/>
      <c r="I845" s="20"/>
    </row>
    <row r="846">
      <c r="A846" s="43"/>
      <c r="I846" s="20"/>
    </row>
    <row r="847">
      <c r="A847" s="43"/>
      <c r="I847" s="20"/>
    </row>
    <row r="848">
      <c r="A848" s="43"/>
      <c r="I848" s="20"/>
    </row>
    <row r="849">
      <c r="A849" s="43"/>
      <c r="I849" s="20"/>
    </row>
    <row r="850">
      <c r="A850" s="43"/>
      <c r="I850" s="20"/>
    </row>
    <row r="851">
      <c r="A851" s="43"/>
      <c r="I851" s="20"/>
    </row>
    <row r="852">
      <c r="A852" s="43"/>
      <c r="I852" s="20"/>
    </row>
    <row r="853">
      <c r="A853" s="43"/>
      <c r="I853" s="20"/>
    </row>
    <row r="854">
      <c r="A854" s="43"/>
      <c r="I854" s="20"/>
    </row>
    <row r="855">
      <c r="A855" s="43"/>
      <c r="I855" s="20"/>
    </row>
    <row r="856">
      <c r="A856" s="43"/>
      <c r="I856" s="20"/>
    </row>
    <row r="857">
      <c r="A857" s="43"/>
      <c r="I857" s="20"/>
    </row>
    <row r="858">
      <c r="A858" s="43"/>
      <c r="I858" s="20"/>
    </row>
    <row r="859">
      <c r="A859" s="43"/>
      <c r="I859" s="20"/>
    </row>
    <row r="860">
      <c r="A860" s="43"/>
      <c r="I860" s="20"/>
    </row>
    <row r="861">
      <c r="A861" s="43"/>
      <c r="I861" s="20"/>
    </row>
    <row r="862">
      <c r="A862" s="43"/>
      <c r="I862" s="20"/>
    </row>
    <row r="863">
      <c r="A863" s="43"/>
      <c r="I863" s="20"/>
    </row>
    <row r="864">
      <c r="A864" s="43"/>
      <c r="I864" s="20"/>
    </row>
    <row r="865">
      <c r="A865" s="43"/>
      <c r="I865" s="20"/>
    </row>
    <row r="866">
      <c r="A866" s="43"/>
      <c r="I866" s="20"/>
    </row>
    <row r="867">
      <c r="A867" s="43"/>
      <c r="I867" s="20"/>
    </row>
    <row r="868">
      <c r="A868" s="43"/>
      <c r="I868" s="20"/>
    </row>
    <row r="869">
      <c r="A869" s="43"/>
      <c r="I869" s="20"/>
    </row>
    <row r="870">
      <c r="A870" s="43"/>
      <c r="I870" s="20"/>
    </row>
    <row r="871">
      <c r="A871" s="43"/>
      <c r="I871" s="20"/>
    </row>
    <row r="872">
      <c r="A872" s="43"/>
      <c r="I872" s="20"/>
    </row>
    <row r="873">
      <c r="A873" s="43"/>
      <c r="I873" s="20"/>
    </row>
    <row r="874">
      <c r="A874" s="43"/>
      <c r="I874" s="20"/>
    </row>
    <row r="875">
      <c r="A875" s="43"/>
      <c r="I875" s="20"/>
    </row>
    <row r="876">
      <c r="A876" s="43"/>
      <c r="I876" s="20"/>
    </row>
    <row r="877">
      <c r="A877" s="43"/>
      <c r="I877" s="20"/>
    </row>
    <row r="878">
      <c r="A878" s="43"/>
      <c r="I878" s="20"/>
    </row>
    <row r="879">
      <c r="A879" s="43"/>
      <c r="I879" s="20"/>
    </row>
    <row r="880">
      <c r="A880" s="43"/>
      <c r="I880" s="20"/>
    </row>
    <row r="881">
      <c r="A881" s="43"/>
      <c r="I881" s="20"/>
    </row>
    <row r="882">
      <c r="A882" s="43"/>
      <c r="I882" s="20"/>
    </row>
    <row r="883">
      <c r="A883" s="43"/>
      <c r="I883" s="20"/>
    </row>
    <row r="884">
      <c r="A884" s="43"/>
      <c r="I884" s="20"/>
    </row>
    <row r="885">
      <c r="A885" s="43"/>
      <c r="I885" s="20"/>
    </row>
    <row r="886">
      <c r="A886" s="43"/>
      <c r="I886" s="20"/>
    </row>
    <row r="887">
      <c r="A887" s="43"/>
      <c r="I887" s="20"/>
    </row>
    <row r="888">
      <c r="A888" s="43"/>
      <c r="I888" s="20"/>
    </row>
    <row r="889">
      <c r="A889" s="43"/>
      <c r="I889" s="20"/>
    </row>
    <row r="890">
      <c r="A890" s="43"/>
      <c r="I890" s="20"/>
    </row>
    <row r="891">
      <c r="A891" s="43"/>
      <c r="I891" s="20"/>
    </row>
    <row r="892">
      <c r="A892" s="43"/>
      <c r="I892" s="20"/>
    </row>
    <row r="893">
      <c r="A893" s="43"/>
      <c r="I893" s="20"/>
    </row>
    <row r="894">
      <c r="A894" s="43"/>
      <c r="I894" s="20"/>
    </row>
    <row r="895">
      <c r="A895" s="43"/>
      <c r="I895" s="20"/>
    </row>
    <row r="896">
      <c r="A896" s="43"/>
      <c r="I896" s="20"/>
    </row>
    <row r="897">
      <c r="A897" s="43"/>
      <c r="I897" s="20"/>
    </row>
    <row r="898">
      <c r="A898" s="43"/>
      <c r="I898" s="20"/>
    </row>
    <row r="899">
      <c r="A899" s="43"/>
      <c r="I899" s="20"/>
    </row>
    <row r="900">
      <c r="A900" s="43"/>
      <c r="I900" s="20"/>
    </row>
    <row r="901">
      <c r="A901" s="43"/>
      <c r="I901" s="20"/>
    </row>
    <row r="902">
      <c r="A902" s="43"/>
      <c r="I902" s="20"/>
    </row>
    <row r="903">
      <c r="A903" s="43"/>
      <c r="I903" s="20"/>
    </row>
    <row r="904">
      <c r="A904" s="43"/>
      <c r="I904" s="20"/>
    </row>
    <row r="905">
      <c r="A905" s="43"/>
      <c r="I905" s="20"/>
    </row>
    <row r="906">
      <c r="A906" s="43"/>
      <c r="I906" s="20"/>
    </row>
    <row r="907">
      <c r="A907" s="43"/>
      <c r="I907" s="20"/>
    </row>
    <row r="908">
      <c r="A908" s="43"/>
      <c r="I908" s="20"/>
    </row>
    <row r="909">
      <c r="A909" s="43"/>
      <c r="I909" s="20"/>
    </row>
    <row r="910">
      <c r="A910" s="43"/>
      <c r="I910" s="20"/>
    </row>
    <row r="911">
      <c r="A911" s="43"/>
      <c r="I911" s="20"/>
    </row>
    <row r="912">
      <c r="A912" s="43"/>
      <c r="I912" s="20"/>
    </row>
    <row r="913">
      <c r="A913" s="43"/>
      <c r="I913" s="20"/>
    </row>
    <row r="914">
      <c r="A914" s="43"/>
      <c r="I914" s="20"/>
    </row>
    <row r="915">
      <c r="A915" s="43"/>
      <c r="I915" s="20"/>
    </row>
    <row r="916">
      <c r="A916" s="43"/>
      <c r="I916" s="20"/>
    </row>
    <row r="917">
      <c r="A917" s="43"/>
      <c r="I917" s="20"/>
    </row>
    <row r="918">
      <c r="A918" s="43"/>
      <c r="I918" s="20"/>
    </row>
    <row r="919">
      <c r="A919" s="43"/>
      <c r="I919" s="20"/>
    </row>
    <row r="920">
      <c r="A920" s="43"/>
      <c r="I920" s="20"/>
    </row>
    <row r="921">
      <c r="A921" s="43"/>
      <c r="I921" s="20"/>
    </row>
    <row r="922">
      <c r="A922" s="43"/>
      <c r="I922" s="20"/>
    </row>
    <row r="923">
      <c r="A923" s="43"/>
      <c r="I923" s="20"/>
    </row>
    <row r="924">
      <c r="A924" s="43"/>
      <c r="I924" s="20"/>
    </row>
    <row r="925">
      <c r="A925" s="43"/>
      <c r="I925" s="20"/>
    </row>
    <row r="926">
      <c r="A926" s="43"/>
      <c r="I926" s="20"/>
    </row>
    <row r="927">
      <c r="A927" s="43"/>
      <c r="I927" s="20"/>
    </row>
    <row r="928">
      <c r="A928" s="43"/>
      <c r="I928" s="20"/>
    </row>
    <row r="929">
      <c r="A929" s="43"/>
      <c r="I929" s="20"/>
    </row>
    <row r="930">
      <c r="A930" s="43"/>
      <c r="I930" s="20"/>
    </row>
    <row r="931">
      <c r="A931" s="43"/>
      <c r="I931" s="20"/>
    </row>
    <row r="932">
      <c r="A932" s="43"/>
      <c r="I932" s="20"/>
    </row>
    <row r="933">
      <c r="A933" s="43"/>
      <c r="I933" s="20"/>
    </row>
    <row r="934">
      <c r="A934" s="43"/>
      <c r="I934" s="20"/>
    </row>
    <row r="935">
      <c r="A935" s="43"/>
      <c r="I935" s="20"/>
    </row>
    <row r="936">
      <c r="A936" s="43"/>
      <c r="I936" s="20"/>
    </row>
    <row r="937">
      <c r="A937" s="43"/>
      <c r="I937" s="20"/>
    </row>
    <row r="938">
      <c r="A938" s="43"/>
      <c r="I938" s="20"/>
    </row>
    <row r="939">
      <c r="A939" s="43"/>
      <c r="I939" s="20"/>
    </row>
    <row r="940">
      <c r="A940" s="43"/>
      <c r="I940" s="20"/>
    </row>
    <row r="941">
      <c r="A941" s="43"/>
      <c r="I941" s="20"/>
    </row>
    <row r="942">
      <c r="A942" s="43"/>
      <c r="I942" s="20"/>
    </row>
    <row r="943">
      <c r="A943" s="43"/>
      <c r="I943" s="20"/>
    </row>
    <row r="944">
      <c r="A944" s="43"/>
      <c r="I944" s="20"/>
    </row>
    <row r="945">
      <c r="A945" s="43"/>
      <c r="I945" s="20"/>
    </row>
    <row r="946">
      <c r="A946" s="43"/>
      <c r="I946" s="20"/>
    </row>
    <row r="947">
      <c r="A947" s="43"/>
      <c r="I947" s="20"/>
    </row>
    <row r="948">
      <c r="A948" s="43"/>
      <c r="I948" s="20"/>
    </row>
    <row r="949">
      <c r="A949" s="43"/>
      <c r="I949" s="20"/>
    </row>
    <row r="950">
      <c r="A950" s="43"/>
      <c r="I950" s="20"/>
    </row>
    <row r="951">
      <c r="A951" s="43"/>
      <c r="I951" s="20"/>
    </row>
    <row r="952">
      <c r="A952" s="43"/>
      <c r="I952" s="20"/>
    </row>
    <row r="953">
      <c r="A953" s="43"/>
      <c r="I953" s="20"/>
    </row>
    <row r="954">
      <c r="A954" s="43"/>
      <c r="I954" s="20"/>
    </row>
    <row r="955">
      <c r="A955" s="43"/>
      <c r="I955" s="20"/>
    </row>
    <row r="956">
      <c r="A956" s="43"/>
      <c r="I956" s="20"/>
    </row>
    <row r="957">
      <c r="A957" s="43"/>
      <c r="I957" s="20"/>
    </row>
    <row r="958">
      <c r="A958" s="43"/>
      <c r="I958" s="20"/>
    </row>
    <row r="959">
      <c r="A959" s="43"/>
      <c r="I959" s="20"/>
    </row>
    <row r="960">
      <c r="A960" s="43"/>
      <c r="I960" s="20"/>
    </row>
    <row r="961">
      <c r="A961" s="43"/>
      <c r="I961" s="20"/>
    </row>
    <row r="962">
      <c r="A962" s="43"/>
      <c r="I962" s="20"/>
    </row>
    <row r="963">
      <c r="A963" s="43"/>
      <c r="I963" s="20"/>
    </row>
    <row r="964">
      <c r="A964" s="43"/>
      <c r="I964" s="20"/>
    </row>
    <row r="965">
      <c r="A965" s="43"/>
      <c r="I965" s="20"/>
    </row>
    <row r="966">
      <c r="A966" s="43"/>
      <c r="I966" s="20"/>
    </row>
    <row r="967">
      <c r="A967" s="43"/>
      <c r="I967" s="20"/>
    </row>
    <row r="968">
      <c r="A968" s="43"/>
      <c r="I968" s="20"/>
    </row>
    <row r="969">
      <c r="A969" s="43"/>
      <c r="I969" s="20"/>
    </row>
    <row r="970">
      <c r="A970" s="43"/>
      <c r="I970" s="20"/>
    </row>
    <row r="971">
      <c r="A971" s="43"/>
      <c r="I971" s="20"/>
    </row>
    <row r="972">
      <c r="A972" s="43"/>
      <c r="I972" s="20"/>
    </row>
    <row r="973">
      <c r="A973" s="43"/>
      <c r="I973" s="20"/>
    </row>
    <row r="974">
      <c r="A974" s="43"/>
      <c r="I974" s="20"/>
    </row>
    <row r="975">
      <c r="A975" s="43"/>
      <c r="I975" s="20"/>
    </row>
    <row r="976">
      <c r="A976" s="43"/>
      <c r="I976" s="20"/>
    </row>
    <row r="977">
      <c r="A977" s="43"/>
      <c r="I977" s="20"/>
    </row>
    <row r="978">
      <c r="A978" s="43"/>
      <c r="I978" s="20"/>
    </row>
    <row r="979">
      <c r="A979" s="43"/>
      <c r="I979" s="20"/>
    </row>
    <row r="980">
      <c r="A980" s="43"/>
      <c r="I980" s="20"/>
    </row>
    <row r="981">
      <c r="A981" s="43"/>
      <c r="I981" s="20"/>
    </row>
    <row r="982">
      <c r="A982" s="43"/>
      <c r="I982" s="20"/>
    </row>
    <row r="983">
      <c r="A983" s="43"/>
      <c r="I983" s="20"/>
    </row>
    <row r="984">
      <c r="A984" s="43"/>
      <c r="I984" s="20"/>
    </row>
    <row r="985">
      <c r="A985" s="43"/>
      <c r="I985" s="20"/>
    </row>
    <row r="986">
      <c r="A986" s="43"/>
      <c r="I986" s="20"/>
    </row>
    <row r="987">
      <c r="A987" s="43"/>
      <c r="I987" s="20"/>
    </row>
    <row r="988">
      <c r="A988" s="43"/>
      <c r="I988" s="20"/>
    </row>
    <row r="989">
      <c r="A989" s="43"/>
      <c r="I989" s="20"/>
    </row>
    <row r="990">
      <c r="A990" s="43"/>
      <c r="I990" s="20"/>
    </row>
    <row r="991">
      <c r="A991" s="43"/>
      <c r="I991" s="20"/>
    </row>
    <row r="992">
      <c r="A992" s="43"/>
      <c r="I992" s="20"/>
    </row>
    <row r="993">
      <c r="A993" s="43"/>
      <c r="I993" s="20"/>
    </row>
    <row r="994">
      <c r="A994" s="43"/>
      <c r="I994" s="20"/>
    </row>
    <row r="995">
      <c r="A995" s="43"/>
      <c r="I995" s="20"/>
    </row>
    <row r="996">
      <c r="A996" s="43"/>
      <c r="I996" s="20"/>
    </row>
    <row r="997">
      <c r="A997" s="43"/>
      <c r="I997" s="20"/>
    </row>
    <row r="998">
      <c r="A998" s="43"/>
      <c r="I998" s="20"/>
    </row>
    <row r="999">
      <c r="A999" s="43"/>
      <c r="I999" s="20"/>
    </row>
    <row r="1000">
      <c r="A1000" s="43"/>
      <c r="I1000" s="20"/>
    </row>
  </sheetData>
  <drawing r:id="rId1"/>
</worksheet>
</file>